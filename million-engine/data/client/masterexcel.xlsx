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ladyslav.mitilov/Desktop/"/>
    </mc:Choice>
  </mc:AlternateContent>
  <xr:revisionPtr revIDLastSave="0" documentId="8_{962B4527-533B-AE44-85D3-0F15F9A3B12E}" xr6:coauthVersionLast="47" xr6:coauthVersionMax="47" xr10:uidLastSave="{00000000-0000-0000-0000-000000000000}"/>
  <bookViews>
    <workbookView xWindow="2560" yWindow="660" windowWidth="26840" windowHeight="17140" xr2:uid="{00000000-000D-0000-FFFF-FFFF00000000}"/>
  </bookViews>
  <sheets>
    <sheet name="Acquisition Potential" sheetId="1" r:id="rId1"/>
  </sheets>
  <externalReferences>
    <externalReference r:id="rId2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" l="1"/>
  <c r="H72" i="1" s="1"/>
  <c r="G58" i="1"/>
  <c r="F58" i="1"/>
  <c r="E58" i="1"/>
  <c r="E72" i="1" s="1"/>
  <c r="D58" i="1"/>
  <c r="C58" i="1"/>
  <c r="H57" i="1"/>
  <c r="H71" i="1" s="1"/>
  <c r="G57" i="1"/>
  <c r="F57" i="1"/>
  <c r="F71" i="1" s="1"/>
  <c r="E57" i="1"/>
  <c r="D57" i="1"/>
  <c r="C57" i="1"/>
  <c r="H56" i="1"/>
  <c r="H70" i="1" s="1"/>
  <c r="G56" i="1"/>
  <c r="F56" i="1"/>
  <c r="F70" i="1" s="1"/>
  <c r="E56" i="1"/>
  <c r="D56" i="1"/>
  <c r="C56" i="1"/>
  <c r="H55" i="1"/>
  <c r="H69" i="1" s="1"/>
  <c r="G55" i="1"/>
  <c r="F55" i="1"/>
  <c r="F69" i="1" s="1"/>
  <c r="E55" i="1"/>
  <c r="D55" i="1"/>
  <c r="C55" i="1"/>
  <c r="H54" i="1"/>
  <c r="I54" i="1" s="1"/>
  <c r="G54" i="1"/>
  <c r="G68" i="1" s="1"/>
  <c r="F54" i="1"/>
  <c r="F68" i="1" s="1"/>
  <c r="E54" i="1"/>
  <c r="E68" i="1" s="1"/>
  <c r="D54" i="1"/>
  <c r="D68" i="1" s="1"/>
  <c r="C54" i="1"/>
  <c r="C68" i="1" s="1"/>
  <c r="I53" i="1"/>
  <c r="H53" i="1"/>
  <c r="H67" i="1" s="1"/>
  <c r="G53" i="1"/>
  <c r="G67" i="1" s="1"/>
  <c r="F53" i="1"/>
  <c r="F67" i="1" s="1"/>
  <c r="E53" i="1"/>
  <c r="E67" i="1" s="1"/>
  <c r="D53" i="1"/>
  <c r="D67" i="1" s="1"/>
  <c r="C53" i="1"/>
  <c r="C67" i="1" s="1"/>
  <c r="I67" i="1" s="1"/>
  <c r="H52" i="1"/>
  <c r="H66" i="1" s="1"/>
  <c r="G52" i="1"/>
  <c r="G66" i="1" s="1"/>
  <c r="F52" i="1"/>
  <c r="F66" i="1" s="1"/>
  <c r="E52" i="1"/>
  <c r="E66" i="1" s="1"/>
  <c r="D52" i="1"/>
  <c r="C52" i="1"/>
  <c r="I52" i="1" s="1"/>
  <c r="H51" i="1"/>
  <c r="H65" i="1" s="1"/>
  <c r="G51" i="1"/>
  <c r="G65" i="1" s="1"/>
  <c r="F51" i="1"/>
  <c r="F65" i="1" s="1"/>
  <c r="E51" i="1"/>
  <c r="E65" i="1" s="1"/>
  <c r="D51" i="1"/>
  <c r="D65" i="1" s="1"/>
  <c r="C51" i="1"/>
  <c r="I51" i="1" s="1"/>
  <c r="D44" i="1"/>
  <c r="C44" i="1"/>
  <c r="D43" i="1"/>
  <c r="C43" i="1"/>
  <c r="D42" i="1"/>
  <c r="C42" i="1"/>
  <c r="C41" i="1"/>
  <c r="C40" i="1"/>
  <c r="M39" i="1"/>
  <c r="D16" i="1"/>
  <c r="C16" i="1"/>
  <c r="D15" i="1" s="1"/>
  <c r="G15" i="1"/>
  <c r="H15" i="1" s="1"/>
  <c r="S15" i="1" s="1"/>
  <c r="T15" i="1" s="1"/>
  <c r="U15" i="1" s="1"/>
  <c r="F15" i="1"/>
  <c r="F14" i="1"/>
  <c r="G14" i="1" s="1"/>
  <c r="H14" i="1" s="1"/>
  <c r="S14" i="1" s="1"/>
  <c r="T14" i="1" s="1"/>
  <c r="U14" i="1" s="1"/>
  <c r="D14" i="1"/>
  <c r="F13" i="1"/>
  <c r="G13" i="1" s="1"/>
  <c r="H13" i="1" s="1"/>
  <c r="S13" i="1" s="1"/>
  <c r="T13" i="1" s="1"/>
  <c r="U13" i="1" s="1"/>
  <c r="D13" i="1"/>
  <c r="F12" i="1"/>
  <c r="G12" i="1" s="1"/>
  <c r="H12" i="1" s="1"/>
  <c r="S12" i="1" s="1"/>
  <c r="T12" i="1" s="1"/>
  <c r="D12" i="1"/>
  <c r="G11" i="1"/>
  <c r="H11" i="1" s="1"/>
  <c r="S11" i="1" s="1"/>
  <c r="T11" i="1" s="1"/>
  <c r="F11" i="1"/>
  <c r="D11" i="1"/>
  <c r="F10" i="1"/>
  <c r="G10" i="1" s="1"/>
  <c r="H10" i="1" s="1"/>
  <c r="S10" i="1" s="1"/>
  <c r="D10" i="1"/>
  <c r="F9" i="1"/>
  <c r="G9" i="1" s="1"/>
  <c r="H9" i="1" s="1"/>
  <c r="S9" i="1" s="1"/>
  <c r="D9" i="1"/>
  <c r="F8" i="1"/>
  <c r="F16" i="1" s="1"/>
  <c r="D8" i="1"/>
  <c r="E43" i="1" l="1"/>
  <c r="V14" i="1"/>
  <c r="C39" i="1"/>
  <c r="T10" i="1"/>
  <c r="U11" i="1"/>
  <c r="D40" i="1"/>
  <c r="U12" i="1"/>
  <c r="D41" i="1"/>
  <c r="T9" i="1"/>
  <c r="C38" i="1"/>
  <c r="D66" i="1"/>
  <c r="E44" i="1"/>
  <c r="V15" i="1"/>
  <c r="E42" i="1"/>
  <c r="V13" i="1"/>
  <c r="C81" i="1"/>
  <c r="C149" i="1"/>
  <c r="I58" i="1"/>
  <c r="C72" i="1" s="1"/>
  <c r="C66" i="1"/>
  <c r="G8" i="1"/>
  <c r="D123" i="1"/>
  <c r="D149" i="1"/>
  <c r="I57" i="1"/>
  <c r="E71" i="1" s="1"/>
  <c r="C65" i="1"/>
  <c r="I65" i="1" s="1"/>
  <c r="C121" i="1"/>
  <c r="C147" i="1"/>
  <c r="I56" i="1"/>
  <c r="E70" i="1" s="1"/>
  <c r="C150" i="1"/>
  <c r="I55" i="1"/>
  <c r="G69" i="1" s="1"/>
  <c r="C134" i="1" s="1"/>
  <c r="H68" i="1"/>
  <c r="I68" i="1" s="1"/>
  <c r="C123" i="1"/>
  <c r="D150" i="1"/>
  <c r="D111" i="1"/>
  <c r="C122" i="1"/>
  <c r="C148" i="1"/>
  <c r="C111" i="1"/>
  <c r="D122" i="1"/>
  <c r="D148" i="1"/>
  <c r="C146" i="1"/>
  <c r="C107" i="1"/>
  <c r="C133" i="1"/>
  <c r="C94" i="1"/>
  <c r="C120" i="1"/>
  <c r="C110" i="1" l="1"/>
  <c r="D110" i="1"/>
  <c r="D109" i="1"/>
  <c r="C109" i="1"/>
  <c r="I72" i="1"/>
  <c r="D85" i="1"/>
  <c r="C85" i="1"/>
  <c r="I66" i="1"/>
  <c r="W13" i="1"/>
  <c r="F42" i="1"/>
  <c r="C70" i="1"/>
  <c r="E69" i="1"/>
  <c r="C108" i="1" s="1"/>
  <c r="G71" i="1"/>
  <c r="E136" i="1" s="1"/>
  <c r="F72" i="1"/>
  <c r="D72" i="1"/>
  <c r="C69" i="1"/>
  <c r="D38" i="1"/>
  <c r="U9" i="1"/>
  <c r="E124" i="1"/>
  <c r="E150" i="1"/>
  <c r="E111" i="1"/>
  <c r="E98" i="1"/>
  <c r="E85" i="1"/>
  <c r="C119" i="1"/>
  <c r="C145" i="1"/>
  <c r="C106" i="1"/>
  <c r="C132" i="1"/>
  <c r="C80" i="1"/>
  <c r="C93" i="1"/>
  <c r="G70" i="1"/>
  <c r="E41" i="1"/>
  <c r="V12" i="1"/>
  <c r="D146" i="1"/>
  <c r="D107" i="1"/>
  <c r="D133" i="1"/>
  <c r="D120" i="1"/>
  <c r="D81" i="1"/>
  <c r="D94" i="1"/>
  <c r="C159" i="1"/>
  <c r="E148" i="1"/>
  <c r="E109" i="1"/>
  <c r="E135" i="1"/>
  <c r="E96" i="1"/>
  <c r="E122" i="1"/>
  <c r="F44" i="1"/>
  <c r="W15" i="1"/>
  <c r="D39" i="1"/>
  <c r="U10" i="1"/>
  <c r="D134" i="1"/>
  <c r="D121" i="1"/>
  <c r="D147" i="1"/>
  <c r="D82" i="1"/>
  <c r="D95" i="1"/>
  <c r="G16" i="1"/>
  <c r="H8" i="1"/>
  <c r="D70" i="1"/>
  <c r="G72" i="1"/>
  <c r="C71" i="1"/>
  <c r="E40" i="1"/>
  <c r="V11" i="1"/>
  <c r="F43" i="1"/>
  <c r="W14" i="1"/>
  <c r="C131" i="1"/>
  <c r="C118" i="1"/>
  <c r="C144" i="1"/>
  <c r="C105" i="1"/>
  <c r="C79" i="1"/>
  <c r="C92" i="1"/>
  <c r="D69" i="1"/>
  <c r="C95" i="1" s="1"/>
  <c r="D71" i="1"/>
  <c r="E123" i="1"/>
  <c r="E149" i="1"/>
  <c r="E110" i="1"/>
  <c r="E97" i="1"/>
  <c r="E107" i="1" l="1"/>
  <c r="E133" i="1"/>
  <c r="E120" i="1"/>
  <c r="E146" i="1"/>
  <c r="E81" i="1"/>
  <c r="E94" i="1"/>
  <c r="D135" i="1"/>
  <c r="D161" i="1" s="1"/>
  <c r="C135" i="1"/>
  <c r="D124" i="1"/>
  <c r="C124" i="1"/>
  <c r="V9" i="1"/>
  <c r="E38" i="1"/>
  <c r="C137" i="1"/>
  <c r="D137" i="1"/>
  <c r="D163" i="1" s="1"/>
  <c r="D131" i="1"/>
  <c r="D118" i="1"/>
  <c r="D79" i="1"/>
  <c r="D105" i="1"/>
  <c r="D144" i="1"/>
  <c r="D92" i="1"/>
  <c r="I70" i="1"/>
  <c r="C83" i="1"/>
  <c r="D83" i="1"/>
  <c r="C97" i="1"/>
  <c r="D97" i="1"/>
  <c r="F148" i="1"/>
  <c r="F109" i="1"/>
  <c r="F135" i="1"/>
  <c r="F96" i="1"/>
  <c r="F83" i="1"/>
  <c r="F122" i="1"/>
  <c r="X14" i="1"/>
  <c r="G43" i="1"/>
  <c r="G44" i="1"/>
  <c r="X15" i="1"/>
  <c r="I69" i="1"/>
  <c r="C82" i="1"/>
  <c r="X13" i="1"/>
  <c r="G42" i="1"/>
  <c r="I71" i="1"/>
  <c r="C84" i="1"/>
  <c r="D84" i="1"/>
  <c r="C158" i="1"/>
  <c r="D96" i="1"/>
  <c r="C96" i="1"/>
  <c r="D108" i="1"/>
  <c r="E137" i="1"/>
  <c r="C160" i="1"/>
  <c r="H16" i="1"/>
  <c r="S8" i="1"/>
  <c r="D160" i="1"/>
  <c r="F124" i="1"/>
  <c r="F150" i="1"/>
  <c r="F137" i="1"/>
  <c r="F111" i="1"/>
  <c r="F85" i="1"/>
  <c r="F98" i="1"/>
  <c r="W12" i="1"/>
  <c r="F41" i="1"/>
  <c r="C98" i="1"/>
  <c r="D98" i="1"/>
  <c r="D136" i="1"/>
  <c r="C136" i="1"/>
  <c r="C157" i="1"/>
  <c r="E84" i="1"/>
  <c r="E162" i="1" s="1"/>
  <c r="E39" i="1"/>
  <c r="V10" i="1"/>
  <c r="D119" i="1"/>
  <c r="D145" i="1"/>
  <c r="D106" i="1"/>
  <c r="D80" i="1"/>
  <c r="D93" i="1"/>
  <c r="D132" i="1"/>
  <c r="D159" i="1"/>
  <c r="F136" i="1"/>
  <c r="F123" i="1"/>
  <c r="F149" i="1"/>
  <c r="F97" i="1"/>
  <c r="F84" i="1"/>
  <c r="F110" i="1"/>
  <c r="F40" i="1"/>
  <c r="W11" i="1"/>
  <c r="E83" i="1"/>
  <c r="E161" i="1" s="1"/>
  <c r="E121" i="1"/>
  <c r="E147" i="1"/>
  <c r="E108" i="1"/>
  <c r="E134" i="1"/>
  <c r="E95" i="1"/>
  <c r="E82" i="1"/>
  <c r="E163" i="1"/>
  <c r="F163" i="1" l="1"/>
  <c r="F121" i="1"/>
  <c r="F147" i="1"/>
  <c r="F108" i="1"/>
  <c r="F95" i="1"/>
  <c r="F134" i="1"/>
  <c r="F82" i="1"/>
  <c r="E160" i="1"/>
  <c r="E119" i="1"/>
  <c r="E145" i="1"/>
  <c r="E132" i="1"/>
  <c r="E80" i="1"/>
  <c r="E93" i="1"/>
  <c r="E106" i="1"/>
  <c r="C161" i="1"/>
  <c r="F162" i="1"/>
  <c r="E131" i="1"/>
  <c r="E118" i="1"/>
  <c r="E144" i="1"/>
  <c r="E105" i="1"/>
  <c r="E79" i="1"/>
  <c r="E92" i="1"/>
  <c r="F161" i="1"/>
  <c r="C162" i="1"/>
  <c r="G123" i="1"/>
  <c r="G149" i="1"/>
  <c r="G110" i="1"/>
  <c r="G136" i="1"/>
  <c r="G97" i="1"/>
  <c r="G84" i="1"/>
  <c r="E159" i="1"/>
  <c r="C163" i="1"/>
  <c r="Y15" i="1"/>
  <c r="H44" i="1"/>
  <c r="F133" i="1"/>
  <c r="F120" i="1"/>
  <c r="F81" i="1"/>
  <c r="F146" i="1"/>
  <c r="F107" i="1"/>
  <c r="F94" i="1"/>
  <c r="D157" i="1"/>
  <c r="G109" i="1"/>
  <c r="G135" i="1"/>
  <c r="G122" i="1"/>
  <c r="G148" i="1"/>
  <c r="G96" i="1"/>
  <c r="G83" i="1"/>
  <c r="H43" i="1"/>
  <c r="Y14" i="1"/>
  <c r="X11" i="1"/>
  <c r="G40" i="1"/>
  <c r="D158" i="1"/>
  <c r="G41" i="1"/>
  <c r="X12" i="1"/>
  <c r="G150" i="1"/>
  <c r="G111" i="1"/>
  <c r="G137" i="1"/>
  <c r="G98" i="1"/>
  <c r="G124" i="1"/>
  <c r="G85" i="1"/>
  <c r="W9" i="1"/>
  <c r="F38" i="1"/>
  <c r="D162" i="1"/>
  <c r="F39" i="1"/>
  <c r="W10" i="1"/>
  <c r="S16" i="1"/>
  <c r="C37" i="1"/>
  <c r="T8" i="1"/>
  <c r="Y13" i="1"/>
  <c r="H42" i="1"/>
  <c r="G121" i="1" l="1"/>
  <c r="G147" i="1"/>
  <c r="G134" i="1"/>
  <c r="G108" i="1"/>
  <c r="G82" i="1"/>
  <c r="G95" i="1"/>
  <c r="I44" i="1"/>
  <c r="Z15" i="1"/>
  <c r="X10" i="1"/>
  <c r="G39" i="1"/>
  <c r="G161" i="1"/>
  <c r="E158" i="1"/>
  <c r="F145" i="1"/>
  <c r="F106" i="1"/>
  <c r="F132" i="1"/>
  <c r="F93" i="1"/>
  <c r="F119" i="1"/>
  <c r="F80" i="1"/>
  <c r="H135" i="1"/>
  <c r="H122" i="1"/>
  <c r="H83" i="1"/>
  <c r="H148" i="1"/>
  <c r="H109" i="1"/>
  <c r="H96" i="1"/>
  <c r="E157" i="1"/>
  <c r="I42" i="1"/>
  <c r="Z13" i="1"/>
  <c r="D37" i="1"/>
  <c r="T16" i="1"/>
  <c r="U8" i="1"/>
  <c r="Z14" i="1"/>
  <c r="I43" i="1"/>
  <c r="G133" i="1"/>
  <c r="G120" i="1"/>
  <c r="G146" i="1"/>
  <c r="G94" i="1"/>
  <c r="G107" i="1"/>
  <c r="G81" i="1"/>
  <c r="F159" i="1"/>
  <c r="G162" i="1"/>
  <c r="H40" i="1"/>
  <c r="Y11" i="1"/>
  <c r="F160" i="1"/>
  <c r="G163" i="1"/>
  <c r="F118" i="1"/>
  <c r="F144" i="1"/>
  <c r="F105" i="1"/>
  <c r="F131" i="1"/>
  <c r="F79" i="1"/>
  <c r="F92" i="1"/>
  <c r="C117" i="1"/>
  <c r="C143" i="1"/>
  <c r="C130" i="1"/>
  <c r="C91" i="1"/>
  <c r="C104" i="1"/>
  <c r="C45" i="1"/>
  <c r="C78" i="1"/>
  <c r="G38" i="1"/>
  <c r="X9" i="1"/>
  <c r="H41" i="1"/>
  <c r="Y12" i="1"/>
  <c r="H123" i="1"/>
  <c r="H149" i="1"/>
  <c r="H110" i="1"/>
  <c r="H97" i="1"/>
  <c r="H84" i="1"/>
  <c r="H136" i="1"/>
  <c r="H150" i="1"/>
  <c r="H111" i="1"/>
  <c r="H137" i="1"/>
  <c r="H98" i="1"/>
  <c r="H124" i="1"/>
  <c r="H85" i="1"/>
  <c r="H163" i="1" l="1"/>
  <c r="H162" i="1"/>
  <c r="H120" i="1"/>
  <c r="H146" i="1"/>
  <c r="H107" i="1"/>
  <c r="H133" i="1"/>
  <c r="H81" i="1"/>
  <c r="H94" i="1"/>
  <c r="G159" i="1"/>
  <c r="I111" i="1"/>
  <c r="I137" i="1"/>
  <c r="I124" i="1"/>
  <c r="I150" i="1"/>
  <c r="I98" i="1"/>
  <c r="I85" i="1"/>
  <c r="C112" i="1"/>
  <c r="D143" i="1"/>
  <c r="D104" i="1"/>
  <c r="D112" i="1" s="1"/>
  <c r="D130" i="1"/>
  <c r="D138" i="1" s="1"/>
  <c r="D91" i="1"/>
  <c r="D99" i="1" s="1"/>
  <c r="D117" i="1"/>
  <c r="D125" i="1" s="1"/>
  <c r="D45" i="1"/>
  <c r="D78" i="1"/>
  <c r="D86" i="1" s="1"/>
  <c r="Z12" i="1"/>
  <c r="I41" i="1"/>
  <c r="G145" i="1"/>
  <c r="G106" i="1"/>
  <c r="G132" i="1"/>
  <c r="G80" i="1"/>
  <c r="G119" i="1"/>
  <c r="G93" i="1"/>
  <c r="C151" i="1"/>
  <c r="C156" i="1"/>
  <c r="I123" i="1"/>
  <c r="I149" i="1"/>
  <c r="I136" i="1"/>
  <c r="I84" i="1"/>
  <c r="I110" i="1"/>
  <c r="I97" i="1"/>
  <c r="G160" i="1"/>
  <c r="C99" i="1"/>
  <c r="C138" i="1"/>
  <c r="H161" i="1"/>
  <c r="G118" i="1"/>
  <c r="G144" i="1"/>
  <c r="G105" i="1"/>
  <c r="G79" i="1"/>
  <c r="G92" i="1"/>
  <c r="G131" i="1"/>
  <c r="C125" i="1"/>
  <c r="F158" i="1"/>
  <c r="F157" i="1"/>
  <c r="J42" i="1"/>
  <c r="AA13" i="1"/>
  <c r="H147" i="1"/>
  <c r="H108" i="1"/>
  <c r="H134" i="1"/>
  <c r="H95" i="1"/>
  <c r="H121" i="1"/>
  <c r="H82" i="1"/>
  <c r="I135" i="1"/>
  <c r="I122" i="1"/>
  <c r="I148" i="1"/>
  <c r="I83" i="1"/>
  <c r="I109" i="1"/>
  <c r="I96" i="1"/>
  <c r="Y9" i="1"/>
  <c r="H38" i="1"/>
  <c r="Y10" i="1"/>
  <c r="H39" i="1"/>
  <c r="J43" i="1"/>
  <c r="AA14" i="1"/>
  <c r="C86" i="1"/>
  <c r="I40" i="1"/>
  <c r="Z11" i="1"/>
  <c r="U16" i="1"/>
  <c r="V8" i="1"/>
  <c r="E37" i="1"/>
  <c r="AA15" i="1"/>
  <c r="J44" i="1"/>
  <c r="I39" i="1" l="1"/>
  <c r="Z10" i="1"/>
  <c r="AA12" i="1"/>
  <c r="J41" i="1"/>
  <c r="J137" i="1"/>
  <c r="J98" i="1"/>
  <c r="J124" i="1"/>
  <c r="J85" i="1"/>
  <c r="J150" i="1"/>
  <c r="J111" i="1"/>
  <c r="M44" i="1"/>
  <c r="J40" i="1"/>
  <c r="AA11" i="1"/>
  <c r="H106" i="1"/>
  <c r="H132" i="1"/>
  <c r="H119" i="1"/>
  <c r="H145" i="1"/>
  <c r="H93" i="1"/>
  <c r="H80" i="1"/>
  <c r="I161" i="1"/>
  <c r="H160" i="1"/>
  <c r="I147" i="1"/>
  <c r="I108" i="1"/>
  <c r="I134" i="1"/>
  <c r="I82" i="1"/>
  <c r="I121" i="1"/>
  <c r="I95" i="1"/>
  <c r="D151" i="1"/>
  <c r="D156" i="1"/>
  <c r="I120" i="1"/>
  <c r="I146" i="1"/>
  <c r="I107" i="1"/>
  <c r="I133" i="1"/>
  <c r="I81" i="1"/>
  <c r="I94" i="1"/>
  <c r="K42" i="1"/>
  <c r="AB13" i="1"/>
  <c r="L42" i="1" s="1"/>
  <c r="J122" i="1"/>
  <c r="J148" i="1"/>
  <c r="J109" i="1"/>
  <c r="J135" i="1"/>
  <c r="J83" i="1"/>
  <c r="J96" i="1"/>
  <c r="J149" i="1"/>
  <c r="J110" i="1"/>
  <c r="J136" i="1"/>
  <c r="J97" i="1"/>
  <c r="J123" i="1"/>
  <c r="J84" i="1"/>
  <c r="M43" i="1"/>
  <c r="I163" i="1"/>
  <c r="K44" i="1"/>
  <c r="AB15" i="1"/>
  <c r="L44" i="1" s="1"/>
  <c r="H118" i="1"/>
  <c r="H144" i="1"/>
  <c r="H131" i="1"/>
  <c r="H105" i="1"/>
  <c r="H79" i="1"/>
  <c r="H92" i="1"/>
  <c r="K43" i="1"/>
  <c r="AB14" i="1"/>
  <c r="L43" i="1" s="1"/>
  <c r="G157" i="1"/>
  <c r="G158" i="1"/>
  <c r="H159" i="1"/>
  <c r="I162" i="1"/>
  <c r="I38" i="1"/>
  <c r="Z9" i="1"/>
  <c r="E143" i="1"/>
  <c r="E130" i="1"/>
  <c r="E104" i="1"/>
  <c r="E117" i="1"/>
  <c r="E78" i="1"/>
  <c r="E91" i="1"/>
  <c r="E45" i="1"/>
  <c r="V16" i="1"/>
  <c r="W8" i="1"/>
  <c r="F37" i="1"/>
  <c r="H157" i="1" l="1"/>
  <c r="J120" i="1"/>
  <c r="J146" i="1"/>
  <c r="J133" i="1"/>
  <c r="J107" i="1"/>
  <c r="J81" i="1"/>
  <c r="J94" i="1"/>
  <c r="J108" i="1"/>
  <c r="J134" i="1"/>
  <c r="J121" i="1"/>
  <c r="J147" i="1"/>
  <c r="J82" i="1"/>
  <c r="J95" i="1"/>
  <c r="E138" i="1"/>
  <c r="G37" i="1"/>
  <c r="W16" i="1"/>
  <c r="X8" i="1"/>
  <c r="E99" i="1"/>
  <c r="I159" i="1"/>
  <c r="J163" i="1"/>
  <c r="I160" i="1"/>
  <c r="L110" i="1"/>
  <c r="L136" i="1"/>
  <c r="L123" i="1"/>
  <c r="L149" i="1"/>
  <c r="L84" i="1"/>
  <c r="L97" i="1"/>
  <c r="M97" i="1" s="1"/>
  <c r="AA10" i="1"/>
  <c r="J39" i="1"/>
  <c r="K149" i="1"/>
  <c r="K110" i="1"/>
  <c r="K136" i="1"/>
  <c r="K97" i="1"/>
  <c r="K123" i="1"/>
  <c r="K84" i="1"/>
  <c r="J161" i="1"/>
  <c r="I132" i="1"/>
  <c r="I119" i="1"/>
  <c r="I80" i="1"/>
  <c r="I106" i="1"/>
  <c r="I145" i="1"/>
  <c r="I93" i="1"/>
  <c r="E125" i="1"/>
  <c r="L124" i="1"/>
  <c r="L150" i="1"/>
  <c r="L111" i="1"/>
  <c r="L137" i="1"/>
  <c r="M137" i="1" s="1"/>
  <c r="L85" i="1"/>
  <c r="M85" i="1" s="1"/>
  <c r="L98" i="1"/>
  <c r="M98" i="1" s="1"/>
  <c r="L122" i="1"/>
  <c r="M122" i="1" s="1"/>
  <c r="L148" i="1"/>
  <c r="L135" i="1"/>
  <c r="L96" i="1"/>
  <c r="L109" i="1"/>
  <c r="L83" i="1"/>
  <c r="M83" i="1" s="1"/>
  <c r="M42" i="1"/>
  <c r="F130" i="1"/>
  <c r="F138" i="1" s="1"/>
  <c r="F117" i="1"/>
  <c r="F125" i="1" s="1"/>
  <c r="F143" i="1"/>
  <c r="F78" i="1"/>
  <c r="F86" i="1" s="1"/>
  <c r="F91" i="1"/>
  <c r="F99" i="1" s="1"/>
  <c r="F45" i="1"/>
  <c r="F104" i="1"/>
  <c r="F112" i="1" s="1"/>
  <c r="K40" i="1"/>
  <c r="AB11" i="1"/>
  <c r="L40" i="1" s="1"/>
  <c r="E151" i="1"/>
  <c r="E156" i="1"/>
  <c r="K41" i="1"/>
  <c r="AB12" i="1"/>
  <c r="L41" i="1" s="1"/>
  <c r="AA9" i="1"/>
  <c r="J38" i="1"/>
  <c r="I144" i="1"/>
  <c r="I157" i="1" s="1"/>
  <c r="I105" i="1"/>
  <c r="I131" i="1"/>
  <c r="I92" i="1"/>
  <c r="I118" i="1"/>
  <c r="I79" i="1"/>
  <c r="H158" i="1"/>
  <c r="E86" i="1"/>
  <c r="E112" i="1"/>
  <c r="K137" i="1"/>
  <c r="K124" i="1"/>
  <c r="K150" i="1"/>
  <c r="K163" i="1" s="1"/>
  <c r="K111" i="1"/>
  <c r="K98" i="1"/>
  <c r="K85" i="1"/>
  <c r="J162" i="1"/>
  <c r="K122" i="1"/>
  <c r="K148" i="1"/>
  <c r="K109" i="1"/>
  <c r="K96" i="1"/>
  <c r="K135" i="1"/>
  <c r="K83" i="1"/>
  <c r="J144" i="1" l="1"/>
  <c r="J105" i="1"/>
  <c r="J131" i="1"/>
  <c r="J92" i="1"/>
  <c r="J118" i="1"/>
  <c r="J79" i="1"/>
  <c r="F156" i="1"/>
  <c r="F151" i="1"/>
  <c r="L161" i="1"/>
  <c r="M148" i="1"/>
  <c r="K39" i="1"/>
  <c r="AB10" i="1"/>
  <c r="L39" i="1" s="1"/>
  <c r="M84" i="1"/>
  <c r="L134" i="1"/>
  <c r="M134" i="1" s="1"/>
  <c r="L121" i="1"/>
  <c r="L147" i="1"/>
  <c r="L108" i="1"/>
  <c r="L82" i="1"/>
  <c r="M82" i="1" s="1"/>
  <c r="L95" i="1"/>
  <c r="M41" i="1"/>
  <c r="M109" i="1"/>
  <c r="M111" i="1"/>
  <c r="M136" i="1"/>
  <c r="H37" i="1"/>
  <c r="X16" i="1"/>
  <c r="Y8" i="1"/>
  <c r="K161" i="1"/>
  <c r="K146" i="1"/>
  <c r="K107" i="1"/>
  <c r="K133" i="1"/>
  <c r="K94" i="1"/>
  <c r="K120" i="1"/>
  <c r="K81" i="1"/>
  <c r="I158" i="1"/>
  <c r="L162" i="1"/>
  <c r="M149" i="1"/>
  <c r="M123" i="1"/>
  <c r="J159" i="1"/>
  <c r="M96" i="1"/>
  <c r="L163" i="1"/>
  <c r="M150" i="1"/>
  <c r="K162" i="1"/>
  <c r="M110" i="1"/>
  <c r="L146" i="1"/>
  <c r="L107" i="1"/>
  <c r="M107" i="1" s="1"/>
  <c r="L133" i="1"/>
  <c r="L81" i="1"/>
  <c r="L94" i="1"/>
  <c r="M94" i="1" s="1"/>
  <c r="L120" i="1"/>
  <c r="M120" i="1" s="1"/>
  <c r="M40" i="1"/>
  <c r="AB9" i="1"/>
  <c r="L38" i="1" s="1"/>
  <c r="K38" i="1"/>
  <c r="J160" i="1"/>
  <c r="K134" i="1"/>
  <c r="K121" i="1"/>
  <c r="K82" i="1"/>
  <c r="K147" i="1"/>
  <c r="K108" i="1"/>
  <c r="K95" i="1"/>
  <c r="M135" i="1"/>
  <c r="M124" i="1"/>
  <c r="J132" i="1"/>
  <c r="J119" i="1"/>
  <c r="J145" i="1"/>
  <c r="J106" i="1"/>
  <c r="J80" i="1"/>
  <c r="J93" i="1"/>
  <c r="G130" i="1"/>
  <c r="G138" i="1" s="1"/>
  <c r="G117" i="1"/>
  <c r="G125" i="1" s="1"/>
  <c r="G78" i="1"/>
  <c r="G104" i="1"/>
  <c r="G143" i="1"/>
  <c r="G91" i="1"/>
  <c r="G45" i="1"/>
  <c r="K105" i="1" l="1"/>
  <c r="K131" i="1"/>
  <c r="K118" i="1"/>
  <c r="K144" i="1"/>
  <c r="K92" i="1"/>
  <c r="K79" i="1"/>
  <c r="L131" i="1"/>
  <c r="M131" i="1" s="1"/>
  <c r="L118" i="1"/>
  <c r="M118" i="1" s="1"/>
  <c r="L79" i="1"/>
  <c r="L105" i="1"/>
  <c r="M105" i="1" s="1"/>
  <c r="L144" i="1"/>
  <c r="L92" i="1"/>
  <c r="M38" i="1"/>
  <c r="M95" i="1"/>
  <c r="G156" i="1"/>
  <c r="G151" i="1"/>
  <c r="I37" i="1"/>
  <c r="Y16" i="1"/>
  <c r="Z8" i="1"/>
  <c r="M108" i="1"/>
  <c r="L119" i="1"/>
  <c r="L145" i="1"/>
  <c r="M145" i="1" s="1"/>
  <c r="L106" i="1"/>
  <c r="L132" i="1"/>
  <c r="M132" i="1" s="1"/>
  <c r="L80" i="1"/>
  <c r="L93" i="1"/>
  <c r="J158" i="1"/>
  <c r="H130" i="1"/>
  <c r="H138" i="1" s="1"/>
  <c r="H117" i="1"/>
  <c r="H143" i="1"/>
  <c r="H78" i="1"/>
  <c r="H86" i="1" s="1"/>
  <c r="H91" i="1"/>
  <c r="H99" i="1" s="1"/>
  <c r="H45" i="1"/>
  <c r="H104" i="1"/>
  <c r="H112" i="1" s="1"/>
  <c r="L160" i="1"/>
  <c r="M147" i="1"/>
  <c r="L159" i="1"/>
  <c r="M146" i="1"/>
  <c r="K159" i="1"/>
  <c r="G99" i="1"/>
  <c r="K160" i="1"/>
  <c r="K119" i="1"/>
  <c r="K145" i="1"/>
  <c r="K106" i="1"/>
  <c r="K132" i="1"/>
  <c r="K80" i="1"/>
  <c r="K93" i="1"/>
  <c r="G112" i="1"/>
  <c r="G86" i="1"/>
  <c r="M81" i="1"/>
  <c r="M133" i="1"/>
  <c r="M121" i="1"/>
  <c r="J157" i="1"/>
  <c r="K158" i="1" l="1"/>
  <c r="M106" i="1"/>
  <c r="M92" i="1"/>
  <c r="J37" i="1"/>
  <c r="Z16" i="1"/>
  <c r="AA8" i="1"/>
  <c r="L157" i="1"/>
  <c r="M144" i="1"/>
  <c r="H156" i="1"/>
  <c r="H151" i="1"/>
  <c r="H125" i="1"/>
  <c r="M93" i="1"/>
  <c r="L158" i="1"/>
  <c r="M119" i="1"/>
  <c r="K157" i="1"/>
  <c r="M80" i="1"/>
  <c r="I117" i="1"/>
  <c r="I125" i="1" s="1"/>
  <c r="I143" i="1"/>
  <c r="I104" i="1"/>
  <c r="I130" i="1"/>
  <c r="I138" i="1" s="1"/>
  <c r="I78" i="1"/>
  <c r="I86" i="1" s="1"/>
  <c r="I91" i="1"/>
  <c r="I45" i="1"/>
  <c r="M79" i="1"/>
  <c r="I112" i="1" l="1"/>
  <c r="I156" i="1"/>
  <c r="I151" i="1"/>
  <c r="K37" i="1"/>
  <c r="AA16" i="1"/>
  <c r="AB8" i="1"/>
  <c r="J117" i="1"/>
  <c r="J143" i="1"/>
  <c r="J104" i="1"/>
  <c r="J112" i="1" s="1"/>
  <c r="J78" i="1"/>
  <c r="J86" i="1" s="1"/>
  <c r="J91" i="1"/>
  <c r="J99" i="1" s="1"/>
  <c r="J45" i="1"/>
  <c r="J130" i="1"/>
  <c r="J138" i="1" s="1"/>
  <c r="I99" i="1"/>
  <c r="K117" i="1" l="1"/>
  <c r="K125" i="1" s="1"/>
  <c r="K143" i="1"/>
  <c r="K130" i="1"/>
  <c r="K138" i="1" s="1"/>
  <c r="K78" i="1"/>
  <c r="K86" i="1" s="1"/>
  <c r="K91" i="1"/>
  <c r="K99" i="1" s="1"/>
  <c r="K45" i="1"/>
  <c r="K104" i="1"/>
  <c r="K112" i="1" s="1"/>
  <c r="L37" i="1"/>
  <c r="AB16" i="1"/>
  <c r="J156" i="1"/>
  <c r="J151" i="1"/>
  <c r="J125" i="1"/>
  <c r="L143" i="1" l="1"/>
  <c r="L104" i="1"/>
  <c r="L130" i="1"/>
  <c r="L91" i="1"/>
  <c r="L117" i="1"/>
  <c r="L45" i="1"/>
  <c r="L78" i="1"/>
  <c r="M37" i="1"/>
  <c r="M45" i="1" s="1"/>
  <c r="K151" i="1"/>
  <c r="K156" i="1"/>
  <c r="L99" i="1" l="1"/>
  <c r="M91" i="1"/>
  <c r="M99" i="1" s="1"/>
  <c r="L86" i="1"/>
  <c r="M78" i="1"/>
  <c r="M86" i="1" s="1"/>
  <c r="L125" i="1"/>
  <c r="M117" i="1"/>
  <c r="M125" i="1" s="1"/>
  <c r="L138" i="1"/>
  <c r="M130" i="1"/>
  <c r="M138" i="1" s="1"/>
  <c r="L112" i="1"/>
  <c r="M104" i="1"/>
  <c r="M112" i="1" s="1"/>
  <c r="L151" i="1"/>
  <c r="L156" i="1"/>
  <c r="M143" i="1"/>
  <c r="M151" i="1" s="1"/>
</calcChain>
</file>

<file path=xl/sharedStrings.xml><?xml version="1.0" encoding="utf-8"?>
<sst xmlns="http://schemas.openxmlformats.org/spreadsheetml/2006/main" count="353" uniqueCount="65">
  <si>
    <t>Erste Group RFP - Acquisition Guarantee Calculation - Market and Themes Acquisition Potential</t>
  </si>
  <si>
    <t>Market Potential and Growth</t>
  </si>
  <si>
    <t/>
  </si>
  <si>
    <t>Market acquisition potential</t>
  </si>
  <si>
    <t>Growth based on projections and extrapolation</t>
  </si>
  <si>
    <t>Expected acquisition potential</t>
  </si>
  <si>
    <t>Countries</t>
  </si>
  <si>
    <t>Target cards allocation (27'F)</t>
  </si>
  <si>
    <t>Share of total cards</t>
  </si>
  <si>
    <t>Market Share</t>
  </si>
  <si>
    <t>Market Potential (27'F)</t>
  </si>
  <si>
    <t>Max. Acquisition</t>
  </si>
  <si>
    <t>Expected Acquisition</t>
  </si>
  <si>
    <t>PP1</t>
  </si>
  <si>
    <t>PP2</t>
  </si>
  <si>
    <t>PP3</t>
  </si>
  <si>
    <t>PP4</t>
  </si>
  <si>
    <t>PP5</t>
  </si>
  <si>
    <t>PP6</t>
  </si>
  <si>
    <t>PP7</t>
  </si>
  <si>
    <t>PP8</t>
  </si>
  <si>
    <t>PP9</t>
  </si>
  <si>
    <t>PP10</t>
  </si>
  <si>
    <t>PP1 - acquistion (incl. growth)</t>
  </si>
  <si>
    <t>PP2 - acquistion (incl. growth)</t>
  </si>
  <si>
    <t>PP3 - acquistion (incl. growth)</t>
  </si>
  <si>
    <t>PP4 - acquistion (incl. growth)</t>
  </si>
  <si>
    <t>PP5 - acquistion (incl. growth)</t>
  </si>
  <si>
    <t>PP6 - acquistion (incl. growth)</t>
  </si>
  <si>
    <t>PP7 - acquistion (incl. growth)</t>
  </si>
  <si>
    <t>PP8 - acquistion (incl. growth)</t>
  </si>
  <si>
    <t>PP9 - acquistion (incl. growth)</t>
  </si>
  <si>
    <t>PP10 - acquistion (incl. growth)</t>
  </si>
  <si>
    <t>Austria</t>
  </si>
  <si>
    <t>Poland</t>
  </si>
  <si>
    <t>Romania</t>
  </si>
  <si>
    <t>Czechia</t>
  </si>
  <si>
    <t>Slovakia</t>
  </si>
  <si>
    <t>Hungary</t>
  </si>
  <si>
    <t>Croatia</t>
  </si>
  <si>
    <t>Serbia</t>
  </si>
  <si>
    <t>Total</t>
  </si>
  <si>
    <t>Variable / Input</t>
  </si>
  <si>
    <t>Acquisition potential</t>
  </si>
  <si>
    <t>Readiness to issue MC cards</t>
  </si>
  <si>
    <t>Yes</t>
  </si>
  <si>
    <t>No</t>
  </si>
  <si>
    <t>Potentially acquired cards</t>
  </si>
  <si>
    <t>Proposition suitability per country</t>
  </si>
  <si>
    <t>Running Club</t>
  </si>
  <si>
    <t>McLaren Mastercard F1</t>
  </si>
  <si>
    <t>Music - Live Nation</t>
  </si>
  <si>
    <t>Music - other</t>
  </si>
  <si>
    <t>Gaming - MC assets</t>
  </si>
  <si>
    <t>Gaming - other</t>
  </si>
  <si>
    <t>Country Stenght</t>
  </si>
  <si>
    <t>Proposition Strenght</t>
  </si>
  <si>
    <t>Proposition strenght per country</t>
  </si>
  <si>
    <t>Acquisition Potential: Running</t>
  </si>
  <si>
    <t>Acquisition Potential: McLaren Mastercard F1</t>
  </si>
  <si>
    <t>Acquisition Potential: Music - Live Nation</t>
  </si>
  <si>
    <t>Acquisition Potential: Music - other</t>
  </si>
  <si>
    <t>Acquisition Potential: Gaming - MC assets</t>
  </si>
  <si>
    <t>Acquisition Potential: Gaming - other</t>
  </si>
  <si>
    <t>Final check acquisition numbers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</si>
</sst>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rgb="FFC00000"/>
      <name val="Mark Offc For MC"/>
    </font>
    <font>
      <i/>
      <sz val="16"/>
      <color theme="1"/>
      <name val="Mark Offc For MC"/>
    </font>
    <font>
      <sz val="16"/>
      <color theme="1"/>
      <name val="Mark Offc For MC"/>
    </font>
    <font>
      <sz val="12"/>
      <color theme="1"/>
      <name val="Mark Offc For MC"/>
    </font>
    <font>
      <i/>
      <sz val="12"/>
      <color theme="1"/>
      <name val="Mark Offc For MC"/>
    </font>
    <font>
      <b/>
      <sz val="14"/>
      <color rgb="FFC00000"/>
      <name val="Mark Offc For MC"/>
    </font>
    <font>
      <i/>
      <sz val="12"/>
      <color theme="1" tint="0.249977111117893"/>
      <name val="Mark Offc For MC"/>
    </font>
    <font>
      <i/>
      <sz val="12"/>
      <color theme="4" tint="0.79998168889431442"/>
      <name val="Mark Offc For MC"/>
    </font>
    <font>
      <sz val="12"/>
      <color theme="4" tint="0.79998168889431442"/>
      <name val="Mark Offc For MC"/>
    </font>
    <font>
      <b/>
      <sz val="12"/>
      <color theme="1" tint="0.249977111117893"/>
      <name val="Mark Offc For MC"/>
    </font>
    <font>
      <b/>
      <sz val="12"/>
      <color theme="1"/>
      <name val="Mark Offc For MC"/>
    </font>
    <font>
      <sz val="12"/>
      <color rgb="FF000000"/>
      <name val="Mark Offc For MC"/>
    </font>
    <font>
      <sz val="12"/>
      <color theme="1" tint="0.249977111117893"/>
      <name val="Mark Offc For MC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double">
        <color theme="1" tint="0.499984740745262"/>
      </bottom>
      <diagonal/>
    </border>
    <border>
      <left style="thin">
        <color theme="0"/>
      </left>
      <right style="thin">
        <color theme="0"/>
      </right>
      <top/>
      <bottom style="double">
        <color theme="1" tint="0.499984740745262"/>
      </bottom>
      <diagonal/>
    </border>
    <border>
      <left style="thin">
        <color theme="0"/>
      </left>
      <right/>
      <top/>
      <bottom style="double">
        <color theme="1" tint="0.499984740745262"/>
      </bottom>
      <diagonal/>
    </border>
    <border>
      <left/>
      <right/>
      <top/>
      <bottom style="thin">
        <color auto="1"/>
      </bottom>
      <diagonal/>
    </border>
    <border>
      <left style="thin">
        <color theme="0"/>
      </left>
      <right style="thin">
        <color indexed="64"/>
      </right>
      <top style="thin">
        <color auto="1"/>
      </top>
      <bottom/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/>
      <top/>
      <bottom style="double">
        <color theme="1" tint="0.499984740745262"/>
      </bottom>
      <diagonal/>
    </border>
    <border>
      <left/>
      <right style="thin">
        <color indexed="64"/>
      </right>
      <top/>
      <bottom style="double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122">
    <xf numFmtId="0" fontId="0" fillId="0" borderId="0" xfId="0"/>
    <xf numFmtId="0" fontId="2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right" vertical="center" inden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 indent="1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right" vertical="center" indent="1"/>
    </xf>
    <xf numFmtId="0" fontId="8" fillId="3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right" vertical="center" indent="1"/>
    </xf>
    <xf numFmtId="0" fontId="5" fillId="3" borderId="0" xfId="0" applyFont="1" applyFill="1" applyAlignment="1">
      <alignment vertical="center"/>
    </xf>
    <xf numFmtId="0" fontId="5" fillId="4" borderId="0" xfId="0" applyFont="1" applyFill="1" applyAlignment="1">
      <alignment horizontal="left" vertical="center" indent="1"/>
    </xf>
    <xf numFmtId="0" fontId="5" fillId="4" borderId="0" xfId="0" applyFont="1" applyFill="1" applyAlignment="1">
      <alignment horizontal="right" vertical="center" inden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 indent="1"/>
    </xf>
    <xf numFmtId="0" fontId="11" fillId="0" borderId="0" xfId="0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horizontal="left" vertical="center" indent="1"/>
    </xf>
    <xf numFmtId="3" fontId="5" fillId="0" borderId="2" xfId="0" applyNumberFormat="1" applyFont="1" applyBorder="1" applyAlignment="1">
      <alignment horizontal="right" vertical="center" indent="1"/>
    </xf>
    <xf numFmtId="9" fontId="6" fillId="0" borderId="2" xfId="2" applyFont="1" applyBorder="1" applyAlignment="1">
      <alignment horizontal="center" vertical="center"/>
    </xf>
    <xf numFmtId="10" fontId="6" fillId="0" borderId="2" xfId="2" applyNumberFormat="1" applyFont="1" applyBorder="1" applyAlignment="1">
      <alignment horizontal="center" vertical="center"/>
    </xf>
    <xf numFmtId="3" fontId="5" fillId="0" borderId="3" xfId="0" applyNumberFormat="1" applyFont="1" applyBorder="1" applyAlignment="1">
      <alignment horizontal="right" vertical="center" indent="1"/>
    </xf>
    <xf numFmtId="0" fontId="5" fillId="0" borderId="4" xfId="0" applyFont="1" applyBorder="1" applyAlignment="1">
      <alignment horizontal="left" vertical="center" indent="1"/>
    </xf>
    <xf numFmtId="3" fontId="5" fillId="0" borderId="5" xfId="0" applyNumberFormat="1" applyFont="1" applyBorder="1" applyAlignment="1">
      <alignment horizontal="right" vertical="center" indent="1"/>
    </xf>
    <xf numFmtId="9" fontId="6" fillId="0" borderId="5" xfId="2" applyFont="1" applyBorder="1" applyAlignment="1">
      <alignment horizontal="center" vertical="center"/>
    </xf>
    <xf numFmtId="10" fontId="6" fillId="0" borderId="5" xfId="2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right" vertical="center" indent="1"/>
    </xf>
    <xf numFmtId="0" fontId="5" fillId="0" borderId="7" xfId="0" applyFont="1" applyBorder="1" applyAlignment="1">
      <alignment horizontal="left" vertical="center" indent="1"/>
    </xf>
    <xf numFmtId="3" fontId="5" fillId="0" borderId="8" xfId="0" applyNumberFormat="1" applyFont="1" applyBorder="1" applyAlignment="1">
      <alignment horizontal="right" vertical="center" indent="1"/>
    </xf>
    <xf numFmtId="9" fontId="6" fillId="0" borderId="8" xfId="2" applyFont="1" applyBorder="1" applyAlignment="1">
      <alignment horizontal="center" vertical="center"/>
    </xf>
    <xf numFmtId="10" fontId="6" fillId="0" borderId="8" xfId="2" applyNumberFormat="1" applyFont="1" applyBorder="1" applyAlignment="1">
      <alignment horizontal="center" vertical="center"/>
    </xf>
    <xf numFmtId="3" fontId="5" fillId="0" borderId="9" xfId="0" applyNumberFormat="1" applyFont="1" applyBorder="1" applyAlignment="1">
      <alignment horizontal="right" vertical="center" indent="1"/>
    </xf>
    <xf numFmtId="0" fontId="12" fillId="0" borderId="0" xfId="0" applyFont="1" applyAlignment="1">
      <alignment horizontal="left" vertical="center" indent="1"/>
    </xf>
    <xf numFmtId="3" fontId="12" fillId="0" borderId="0" xfId="0" applyNumberFormat="1" applyFont="1" applyAlignment="1">
      <alignment horizontal="right" vertical="center" indent="1"/>
    </xf>
    <xf numFmtId="9" fontId="6" fillId="0" borderId="0" xfId="2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0" fontId="5" fillId="5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indent="1"/>
    </xf>
    <xf numFmtId="10" fontId="6" fillId="6" borderId="0" xfId="0" applyNumberFormat="1" applyFont="1" applyFill="1" applyAlignment="1">
      <alignment horizontal="center" vertical="center"/>
    </xf>
    <xf numFmtId="10" fontId="6" fillId="0" borderId="0" xfId="0" applyNumberFormat="1" applyFont="1" applyAlignment="1">
      <alignment horizontal="left" vertical="center" indent="1"/>
    </xf>
    <xf numFmtId="0" fontId="11" fillId="0" borderId="10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right" vertical="center" indent="1"/>
    </xf>
    <xf numFmtId="3" fontId="5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0" xfId="2" applyFont="1" applyAlignment="1">
      <alignment horizontal="right" vertical="center" indent="1"/>
    </xf>
    <xf numFmtId="3" fontId="5" fillId="0" borderId="5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3" fontId="5" fillId="0" borderId="0" xfId="0" applyNumberFormat="1" applyFont="1" applyAlignment="1">
      <alignment horizontal="right" vertical="center" indent="1"/>
    </xf>
    <xf numFmtId="3" fontId="13" fillId="0" borderId="0" xfId="2" applyNumberFormat="1" applyFont="1" applyAlignment="1">
      <alignment horizontal="right" vertical="center"/>
    </xf>
    <xf numFmtId="9" fontId="5" fillId="0" borderId="0" xfId="2" applyFont="1" applyAlignment="1">
      <alignment vertical="center"/>
    </xf>
    <xf numFmtId="3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4" fontId="5" fillId="0" borderId="1" xfId="1" applyNumberFormat="1" applyFont="1" applyBorder="1" applyAlignment="1">
      <alignment horizontal="left" vertical="center" indent="1"/>
    </xf>
    <xf numFmtId="164" fontId="5" fillId="0" borderId="2" xfId="1" applyNumberFormat="1" applyFont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/>
    </xf>
    <xf numFmtId="164" fontId="5" fillId="0" borderId="3" xfId="1" applyNumberFormat="1" applyFont="1" applyBorder="1" applyAlignment="1">
      <alignment horizontal="center" vertical="center"/>
    </xf>
    <xf numFmtId="164" fontId="5" fillId="0" borderId="11" xfId="1" applyNumberFormat="1" applyFont="1" applyBorder="1" applyAlignment="1">
      <alignment horizontal="center" vertical="center"/>
    </xf>
    <xf numFmtId="3" fontId="11" fillId="6" borderId="1" xfId="1" applyNumberFormat="1" applyFont="1" applyFill="1" applyBorder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164" fontId="5" fillId="0" borderId="4" xfId="1" applyNumberFormat="1" applyFont="1" applyBorder="1" applyAlignment="1">
      <alignment horizontal="left" vertical="center" indent="1"/>
    </xf>
    <xf numFmtId="164" fontId="5" fillId="0" borderId="5" xfId="1" applyNumberFormat="1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6" xfId="1" applyNumberFormat="1" applyFont="1" applyBorder="1" applyAlignment="1">
      <alignment horizontal="center" vertical="center"/>
    </xf>
    <xf numFmtId="164" fontId="5" fillId="0" borderId="12" xfId="1" applyNumberFormat="1" applyFont="1" applyBorder="1" applyAlignment="1">
      <alignment horizontal="center" vertical="center"/>
    </xf>
    <xf numFmtId="3" fontId="11" fillId="0" borderId="4" xfId="1" applyNumberFormat="1" applyFont="1" applyBorder="1" applyAlignment="1">
      <alignment horizontal="right" vertical="center"/>
    </xf>
    <xf numFmtId="3" fontId="11" fillId="6" borderId="4" xfId="1" applyNumberFormat="1" applyFont="1" applyFill="1" applyBorder="1" applyAlignment="1">
      <alignment horizontal="right" vertical="center"/>
    </xf>
    <xf numFmtId="3" fontId="5" fillId="0" borderId="0" xfId="2" applyNumberFormat="1" applyFont="1" applyAlignment="1">
      <alignment horizontal="right" vertical="center"/>
    </xf>
    <xf numFmtId="164" fontId="5" fillId="0" borderId="13" xfId="1" applyNumberFormat="1" applyFont="1" applyBorder="1" applyAlignment="1">
      <alignment horizontal="left" vertical="center" indent="1"/>
    </xf>
    <xf numFmtId="164" fontId="5" fillId="0" borderId="13" xfId="1" applyNumberFormat="1" applyFont="1" applyBorder="1" applyAlignment="1">
      <alignment horizontal="center" vertical="center"/>
    </xf>
    <xf numFmtId="164" fontId="5" fillId="0" borderId="14" xfId="1" applyNumberFormat="1" applyFont="1" applyBorder="1" applyAlignment="1">
      <alignment horizontal="center" vertical="center"/>
    </xf>
    <xf numFmtId="3" fontId="11" fillId="0" borderId="13" xfId="1" applyNumberFormat="1" applyFont="1" applyBorder="1" applyAlignment="1">
      <alignment horizontal="right" vertical="center"/>
    </xf>
    <xf numFmtId="0" fontId="11" fillId="0" borderId="0" xfId="0" applyFont="1" applyAlignment="1">
      <alignment horizontal="left" vertical="center" indent="1"/>
    </xf>
    <xf numFmtId="3" fontId="11" fillId="6" borderId="0" xfId="0" applyNumberFormat="1" applyFont="1" applyFill="1" applyAlignment="1">
      <alignment horizontal="right" vertical="center" indent="1"/>
    </xf>
    <xf numFmtId="3" fontId="11" fillId="6" borderId="15" xfId="0" applyNumberFormat="1" applyFont="1" applyFill="1" applyBorder="1" applyAlignment="1">
      <alignment horizontal="right" vertical="center" indent="1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horizontal="right" vertical="center" indent="1"/>
    </xf>
    <xf numFmtId="0" fontId="14" fillId="0" borderId="0" xfId="0" applyFont="1" applyAlignment="1">
      <alignment vertical="center"/>
    </xf>
    <xf numFmtId="0" fontId="5" fillId="0" borderId="0" xfId="0" applyFont="1"/>
    <xf numFmtId="164" fontId="5" fillId="6" borderId="1" xfId="1" applyNumberFormat="1" applyFont="1" applyFill="1" applyBorder="1" applyAlignment="1">
      <alignment horizontal="left" vertical="center" indent="1"/>
    </xf>
    <xf numFmtId="164" fontId="5" fillId="6" borderId="2" xfId="1" applyNumberFormat="1" applyFont="1" applyFill="1" applyBorder="1" applyAlignment="1">
      <alignment horizontal="center" vertical="center"/>
    </xf>
    <xf numFmtId="9" fontId="5" fillId="6" borderId="1" xfId="2" applyFont="1" applyFill="1" applyBorder="1" applyAlignment="1">
      <alignment horizontal="center" vertical="center"/>
    </xf>
    <xf numFmtId="9" fontId="5" fillId="0" borderId="4" xfId="2" applyFont="1" applyBorder="1" applyAlignment="1">
      <alignment horizontal="center" vertical="center"/>
    </xf>
    <xf numFmtId="164" fontId="5" fillId="6" borderId="4" xfId="1" applyNumberFormat="1" applyFont="1" applyFill="1" applyBorder="1" applyAlignment="1">
      <alignment horizontal="left" vertical="center" indent="1"/>
    </xf>
    <xf numFmtId="164" fontId="5" fillId="6" borderId="5" xfId="1" applyNumberFormat="1" applyFont="1" applyFill="1" applyBorder="1" applyAlignment="1">
      <alignment horizontal="center" vertical="center"/>
    </xf>
    <xf numFmtId="9" fontId="5" fillId="6" borderId="4" xfId="2" applyFont="1" applyFill="1" applyBorder="1" applyAlignment="1">
      <alignment horizontal="center" vertical="center"/>
    </xf>
    <xf numFmtId="9" fontId="5" fillId="0" borderId="13" xfId="2" applyFont="1" applyBorder="1" applyAlignment="1">
      <alignment horizontal="center" vertical="center"/>
    </xf>
    <xf numFmtId="9" fontId="6" fillId="6" borderId="0" xfId="0" applyNumberFormat="1" applyFont="1" applyFill="1" applyAlignment="1">
      <alignment horizontal="center" vertical="center"/>
    </xf>
    <xf numFmtId="9" fontId="5" fillId="6" borderId="0" xfId="0" applyNumberFormat="1" applyFont="1" applyFill="1" applyAlignment="1">
      <alignment horizontal="center" vertical="center"/>
    </xf>
    <xf numFmtId="9" fontId="6" fillId="0" borderId="0" xfId="0" applyNumberFormat="1" applyFont="1" applyAlignment="1">
      <alignment horizontal="left" vertical="center" indent="1"/>
    </xf>
    <xf numFmtId="9" fontId="5" fillId="0" borderId="0" xfId="0" applyNumberFormat="1" applyFont="1" applyAlignment="1">
      <alignment horizontal="right" vertical="center" indent="1"/>
    </xf>
    <xf numFmtId="9" fontId="5" fillId="6" borderId="2" xfId="2" applyFont="1" applyFill="1" applyBorder="1" applyAlignment="1">
      <alignment horizontal="center" vertical="center"/>
    </xf>
    <xf numFmtId="9" fontId="5" fillId="0" borderId="5" xfId="2" applyFont="1" applyBorder="1" applyAlignment="1">
      <alignment horizontal="center" vertical="center"/>
    </xf>
    <xf numFmtId="9" fontId="5" fillId="6" borderId="5" xfId="2" applyFont="1" applyFill="1" applyBorder="1" applyAlignment="1">
      <alignment horizontal="center" vertical="center"/>
    </xf>
    <xf numFmtId="164" fontId="5" fillId="6" borderId="1" xfId="1" applyNumberFormat="1" applyFont="1" applyFill="1" applyBorder="1" applyAlignment="1">
      <alignment horizontal="center" vertical="center"/>
    </xf>
    <xf numFmtId="164" fontId="5" fillId="6" borderId="3" xfId="1" applyNumberFormat="1" applyFont="1" applyFill="1" applyBorder="1" applyAlignment="1">
      <alignment horizontal="center" vertical="center"/>
    </xf>
    <xf numFmtId="164" fontId="5" fillId="6" borderId="11" xfId="1" applyNumberFormat="1" applyFont="1" applyFill="1" applyBorder="1" applyAlignment="1">
      <alignment horizontal="center" vertical="center"/>
    </xf>
    <xf numFmtId="164" fontId="11" fillId="6" borderId="1" xfId="1" applyNumberFormat="1" applyFont="1" applyFill="1" applyBorder="1" applyAlignment="1">
      <alignment horizontal="center" vertical="center"/>
    </xf>
    <xf numFmtId="164" fontId="11" fillId="0" borderId="4" xfId="1" applyNumberFormat="1" applyFont="1" applyBorder="1" applyAlignment="1">
      <alignment horizontal="center" vertical="center"/>
    </xf>
    <xf numFmtId="164" fontId="5" fillId="6" borderId="4" xfId="1" applyNumberFormat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center" vertical="center"/>
    </xf>
    <xf numFmtId="164" fontId="5" fillId="6" borderId="12" xfId="1" applyNumberFormat="1" applyFont="1" applyFill="1" applyBorder="1" applyAlignment="1">
      <alignment horizontal="center" vertical="center"/>
    </xf>
    <xf numFmtId="164" fontId="11" fillId="6" borderId="4" xfId="1" applyNumberFormat="1" applyFont="1" applyFill="1" applyBorder="1" applyAlignment="1">
      <alignment horizontal="center" vertical="center"/>
    </xf>
    <xf numFmtId="164" fontId="11" fillId="0" borderId="13" xfId="1" applyNumberFormat="1" applyFont="1" applyBorder="1" applyAlignment="1">
      <alignment horizontal="center" vertical="center"/>
    </xf>
    <xf numFmtId="0" fontId="11" fillId="6" borderId="0" xfId="0" applyFont="1" applyFill="1" applyAlignment="1">
      <alignment horizontal="left" vertical="center" indent="1"/>
    </xf>
    <xf numFmtId="164" fontId="5" fillId="6" borderId="16" xfId="1" applyNumberFormat="1" applyFont="1" applyFill="1" applyBorder="1" applyAlignment="1">
      <alignment horizontal="left" vertical="center" indent="1"/>
    </xf>
    <xf numFmtId="164" fontId="5" fillId="0" borderId="0" xfId="1" applyNumberFormat="1" applyFont="1" applyAlignment="1">
      <alignment horizontal="left" vertical="center" indent="1"/>
    </xf>
    <xf numFmtId="164" fontId="5" fillId="6" borderId="0" xfId="1" applyNumberFormat="1" applyFont="1" applyFill="1" applyAlignment="1">
      <alignment horizontal="left" vertical="center" indent="1"/>
    </xf>
    <xf numFmtId="164" fontId="5" fillId="0" borderId="7" xfId="1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5" fillId="0" borderId="9" xfId="1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 indent="1"/>
    </xf>
  </cellXfs>
  <cellStyles count="3">
    <cellStyle name="Komma" xfId="1" builtinId="3"/>
    <cellStyle name="Prozent" xfId="2" builtinId="5"/>
    <cellStyle name="Standard" xfId="0" builtinId="0"/>
  </cellStyles>
  <dxfs count="61">
    <dxf>
      <font>
        <color rgb="FF006100"/>
      </font>
      <fill>
        <patternFill>
          <bgColor rgb="FFC6EFCE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vertical="center"/>
      <border>
        <right style="thin">
          <color indexed="64"/>
        </right>
        <vertic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right" vertical="center" relativeIndent="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right" vertical="center" relativeIndent="-1"/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left" vertical="center" relativeIndent="1"/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left" vertical="center" relativeIndent="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left" vertical="center" relative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alignment vertical="center"/>
    </dxf>
    <dxf>
      <border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vertical="center"/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0" formatCode="General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0" formatCode="General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0" formatCode="General"/>
      <alignment horizontal="center" vertical="center"/>
      <border outline="0">
        <left/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0" formatCode="General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0" formatCode="General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center" vertical="center"/>
      <border outline="0">
        <left style="thin">
          <color theme="0"/>
        </left>
        <right style="thin">
          <color theme="0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left" vertical="center" indent="1"/>
      <border>
        <left/>
        <right style="thin">
          <color theme="0"/>
        </right>
        <top/>
        <bottom/>
        <vertical/>
        <horizontal/>
      </border>
    </dxf>
    <dxf>
      <border outline="0">
        <bottom style="double">
          <color theme="1" tint="0.499984740745262"/>
        </bottom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1" tint="0.249977111117893"/>
        <name val="Mark Offc For MC"/>
      </font>
      <alignment horizontal="left" vertical="center" wrapTex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 indent="1"/>
    </dxf>
    <dxf>
      <font>
        <i/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14" formatCode="0.00%"/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14" formatCode="0.00%"/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14" formatCode="0.00%"/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14" formatCode="0.00%"/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14" formatCode="0.00%"/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14" formatCode="0.00%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numFmt numFmtId="3" formatCode="#,##0"/>
      <alignment horizontal="righ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right" vertical="center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right" vertical="center" relativeIndent="-1"/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numFmt numFmtId="3" formatCode="#,##0"/>
      <alignment horizontal="left" vertical="center" relativeIndent="1"/>
    </dxf>
    <dxf>
      <font>
        <strike val="0"/>
        <condense val="0"/>
        <extend val="0"/>
        <outline val="0"/>
        <shadow val="0"/>
        <vertAlign val="baseline"/>
        <sz val="12"/>
        <color theme="1"/>
        <name val="Mark Offc For MC"/>
      </font>
      <alignment horizontal="left" vertical="center" relativeIndent="1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Mark Offc For MC"/>
      </font>
      <alignment vertical="center"/>
    </dxf>
    <dxf>
      <border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1" tint="0.249977111117893"/>
        <name val="Mark Offc For MC"/>
      </font>
      <alignment vertical="center" wrapText="1"/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Table Style 2" pivot="0" count="1" xr9:uid="{00000000-0011-0000-FFFF-FFFF00000000}">
      <tableStyleElement type="firstRowStrip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iederhergestellterexternerHyper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s Allocation"/>
      <sheetName val="Variables"/>
      <sheetName val="BC population"/>
      <sheetName val="BC population_vSubmission"/>
      <sheetName val="Slides Scenarios"/>
      <sheetName val="Acquisition Guarantee -&gt;"/>
      <sheetName val="Acquisition Summary"/>
      <sheetName val="Acquisition Potential"/>
      <sheetName val="Acquisition Attrition"/>
      <sheetName val="Acquisition Media cost"/>
      <sheetName val="THEME RUNNING"/>
      <sheetName val="THEME F1"/>
      <sheetName val="THEME LN"/>
      <sheetName val="THEME MUSIC - OTHER"/>
      <sheetName val="THEME GAMING"/>
      <sheetName val="THEME GAMING - OTHER"/>
      <sheetName val="AI - Operations -&gt;"/>
      <sheetName val="Simplified Executive Summary"/>
      <sheetName val="Simplified Assumptions"/>
      <sheetName val="Simplified Country Impact"/>
      <sheetName val="Simplified Costs"/>
      <sheetName val="Simplified Impact"/>
      <sheetName val="SME IC Uplift + V C-Suite -&gt;"/>
      <sheetName val="Volumes and IC Overview"/>
      <sheetName val="vCFO calculation"/>
      <sheetName val="Card Inventory"/>
      <sheetName val="Live Matrix by Market - Agg"/>
      <sheetName val="2027F - Live Matrix by Market"/>
      <sheetName val="2028F - Live Matrix by Market"/>
      <sheetName val="2029F - Live Matrix by Market"/>
      <sheetName val="2030F - Live Matrix by Market"/>
      <sheetName val="2031F - Live Matrix by Market"/>
      <sheetName val="2032F - Live Matrix by Market"/>
      <sheetName val="2033F - Live Matrix by Market"/>
      <sheetName val="2034F - Live Matrix by Market"/>
      <sheetName val="2035F - Live Matrix by Market"/>
      <sheetName val="2036F - Live Matrix by Market"/>
      <sheetName val="Notes &amp; Confidence"/>
      <sheetName val="Money Movements -&gt;"/>
      <sheetName val="FM"/>
      <sheetName val="Source for slide info"/>
      <sheetName val="GCO +On-Us"/>
      <sheetName val="Clearing"/>
      <sheetName val="OnUs"/>
      <sheetName val="Erste Revolut"/>
      <sheetName val="Erste volume"/>
      <sheetName val="Revolut XB check"/>
      <sheetName val="SSO + Fraud -&gt;"/>
      <sheetName val="SSO Overview"/>
      <sheetName val="Combined SSO Budget"/>
      <sheetName val="Incremental Value calc."/>
      <sheetName val="Fraud &amp; Cyber Executive Summary"/>
      <sheetName val="Fraud &amp; Security Business Case"/>
      <sheetName val="Cybersecurity Business Case"/>
      <sheetName val="Recorded Future -&gt;"/>
      <sheetName val="Executive Summary"/>
      <sheetName val="Country-Year Detail"/>
      <sheetName val="Assumptions &amp; Sources"/>
      <sheetName val="Checks"/>
    </sheetNames>
    <sheetDataSet>
      <sheetData sheetId="0"/>
      <sheetData sheetId="1">
        <row r="7">
          <cell r="G7" t="str">
            <v>Yes</v>
          </cell>
          <cell r="H7" t="str">
            <v>Yes</v>
          </cell>
          <cell r="I7" t="str">
            <v>Yes</v>
          </cell>
          <cell r="J7" t="str">
            <v>No</v>
          </cell>
          <cell r="K7" t="str">
            <v>Yes</v>
          </cell>
          <cell r="L7" t="str">
            <v>No</v>
          </cell>
        </row>
        <row r="8">
          <cell r="G8" t="str">
            <v>Yes</v>
          </cell>
          <cell r="H8" t="str">
            <v>Yes</v>
          </cell>
          <cell r="I8" t="str">
            <v>No</v>
          </cell>
          <cell r="J8" t="str">
            <v>Yes</v>
          </cell>
          <cell r="K8" t="str">
            <v>Yes</v>
          </cell>
          <cell r="L8" t="str">
            <v>No</v>
          </cell>
        </row>
        <row r="9">
          <cell r="G9" t="str">
            <v>Yes</v>
          </cell>
          <cell r="H9" t="str">
            <v>No</v>
          </cell>
          <cell r="I9" t="str">
            <v>Yes</v>
          </cell>
          <cell r="J9" t="str">
            <v>No</v>
          </cell>
          <cell r="K9" t="str">
            <v>Yes</v>
          </cell>
          <cell r="L9" t="str">
            <v>No</v>
          </cell>
        </row>
        <row r="10">
          <cell r="G10" t="str">
            <v>Yes</v>
          </cell>
          <cell r="H10" t="str">
            <v>No</v>
          </cell>
          <cell r="I10" t="str">
            <v>No</v>
          </cell>
          <cell r="J10" t="str">
            <v>Yes</v>
          </cell>
          <cell r="K10" t="str">
            <v>No</v>
          </cell>
          <cell r="L10" t="str">
            <v>Yes</v>
          </cell>
        </row>
        <row r="11">
          <cell r="G11" t="str">
            <v>Yes</v>
          </cell>
          <cell r="H11" t="str">
            <v>Yes</v>
          </cell>
          <cell r="I11" t="str">
            <v>Yes</v>
          </cell>
          <cell r="J11" t="str">
            <v>No</v>
          </cell>
          <cell r="K11" t="str">
            <v>Yes</v>
          </cell>
          <cell r="L11" t="str">
            <v>No</v>
          </cell>
        </row>
        <row r="12">
          <cell r="G12" t="str">
            <v>Yes</v>
          </cell>
          <cell r="H12" t="str">
            <v>Yes</v>
          </cell>
          <cell r="I12" t="str">
            <v>Yes</v>
          </cell>
          <cell r="J12" t="str">
            <v>No</v>
          </cell>
          <cell r="K12" t="str">
            <v>Yes</v>
          </cell>
          <cell r="L12" t="str">
            <v>No</v>
          </cell>
        </row>
        <row r="13">
          <cell r="G13" t="str">
            <v>Yes</v>
          </cell>
          <cell r="H13" t="str">
            <v>Yes</v>
          </cell>
          <cell r="I13" t="str">
            <v>Yes</v>
          </cell>
          <cell r="J13" t="str">
            <v>No</v>
          </cell>
          <cell r="K13" t="str">
            <v>Yes</v>
          </cell>
          <cell r="L13" t="str">
            <v>No</v>
          </cell>
        </row>
        <row r="14">
          <cell r="G14" t="str">
            <v>Yes</v>
          </cell>
          <cell r="H14" t="str">
            <v>Yes</v>
          </cell>
          <cell r="I14" t="str">
            <v>No</v>
          </cell>
          <cell r="J14" t="str">
            <v>Yes</v>
          </cell>
          <cell r="K14" t="str">
            <v>Yes</v>
          </cell>
          <cell r="L14" t="str">
            <v>No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8" displayName="Table38" ref="B7:AB16" totalsRowShown="0" headerRowDxfId="59" dataDxfId="57" headerRowBorderDxfId="58">
  <autoFilter ref="B7:AB16" xr:uid="{00000000-0009-0000-0100-000001000000}"/>
  <tableColumns count="27">
    <tableColumn id="1" xr3:uid="{00000000-0010-0000-0000-000001000000}" name="Countries" dataDxfId="56"/>
    <tableColumn id="2" xr3:uid="{00000000-0010-0000-0000-000002000000}" name="Target cards allocation (27'F)" dataDxfId="55"/>
    <tableColumn id="3" xr3:uid="{00000000-0010-0000-0000-000003000000}" name="Share of total cards" dataDxfId="54">
      <calculatedColumnFormula>Table38[[#This Row],[Target cards allocation (27''F)]]/$C$16</calculatedColumnFormula>
    </tableColumn>
    <tableColumn id="4" xr3:uid="{00000000-0010-0000-0000-000004000000}" name="Market Share" dataDxfId="53"/>
    <tableColumn id="5" xr3:uid="{00000000-0010-0000-0000-000005000000}" name="Market Potential (27'F)" dataDxfId="52">
      <calculatedColumnFormula>Table38[[#This Row],[Target cards allocation (27''F)]]/Table38[[#This Row],[Market Share]]</calculatedColumnFormula>
    </tableColumn>
    <tableColumn id="7" xr3:uid="{00000000-0010-0000-0000-000007000000}" name="Max. Acquisition" dataDxfId="51"/>
    <tableColumn id="8" xr3:uid="{00000000-0010-0000-0000-000008000000}" name="Expected Acquisition" dataDxfId="50"/>
    <tableColumn id="9" xr3:uid="{00000000-0010-0000-0000-000009000000}" name="PP1" dataDxfId="49"/>
    <tableColumn id="10" xr3:uid="{00000000-0010-0000-0000-00000A000000}" name="PP2" dataDxfId="48">
      <calculatedColumnFormula>SUM(G8:I8)</calculatedColumnFormula>
    </tableColumn>
    <tableColumn id="11" xr3:uid="{00000000-0010-0000-0000-00000B000000}" name="PP3" dataDxfId="47"/>
    <tableColumn id="6" xr3:uid="{00000000-0010-0000-0000-000006000000}" name="PP4" dataDxfId="46"/>
    <tableColumn id="12" xr3:uid="{00000000-0010-0000-0000-00000C000000}" name="PP5" dataDxfId="45"/>
    <tableColumn id="13" xr3:uid="{00000000-0010-0000-0000-00000D000000}" name="PP6" dataDxfId="44"/>
    <tableColumn id="14" xr3:uid="{00000000-0010-0000-0000-00000E000000}" name="PP7" dataDxfId="43"/>
    <tableColumn id="15" xr3:uid="{00000000-0010-0000-0000-00000F000000}" name="PP8" dataDxfId="42"/>
    <tableColumn id="16" xr3:uid="{00000000-0010-0000-0000-000010000000}" name="PP9" dataDxfId="41"/>
    <tableColumn id="17" xr3:uid="{00000000-0010-0000-0000-000011000000}" name="PP10" dataDxfId="40"/>
    <tableColumn id="18" xr3:uid="{00000000-0010-0000-0000-000012000000}" name="PP1 - acquistion (incl. growth)" dataDxfId="39">
      <calculatedColumnFormula>H8</calculatedColumnFormula>
    </tableColumn>
    <tableColumn id="19" xr3:uid="{00000000-0010-0000-0000-000013000000}" name="PP2 - acquistion (incl. growth)" dataDxfId="38">
      <calculatedColumnFormula>S8+(S8*J8)</calculatedColumnFormula>
    </tableColumn>
    <tableColumn id="20" xr3:uid="{00000000-0010-0000-0000-000014000000}" name="PP3 - acquistion (incl. growth)" dataDxfId="37">
      <calculatedColumnFormula>T8+(T8*K8)</calculatedColumnFormula>
    </tableColumn>
    <tableColumn id="21" xr3:uid="{00000000-0010-0000-0000-000015000000}" name="PP4 - acquistion (incl. growth)" dataDxfId="36">
      <calculatedColumnFormula>U8+(U8*L8)</calculatedColumnFormula>
    </tableColumn>
    <tableColumn id="22" xr3:uid="{00000000-0010-0000-0000-000016000000}" name="PP5 - acquistion (incl. growth)" dataDxfId="35">
      <calculatedColumnFormula>V8+(V8*M8)</calculatedColumnFormula>
    </tableColumn>
    <tableColumn id="23" xr3:uid="{00000000-0010-0000-0000-000017000000}" name="PP6 - acquistion (incl. growth)" dataDxfId="34">
      <calculatedColumnFormula>W8+(W8*N8)</calculatedColumnFormula>
    </tableColumn>
    <tableColumn id="24" xr3:uid="{00000000-0010-0000-0000-000018000000}" name="PP7 - acquistion (incl. growth)" dataDxfId="33">
      <calculatedColumnFormula>X8+(X8*O8)</calculatedColumnFormula>
    </tableColumn>
    <tableColumn id="25" xr3:uid="{00000000-0010-0000-0000-000019000000}" name="PP8 - acquistion (incl. growth)" dataDxfId="32">
      <calculatedColumnFormula>Y8+(Y8*P8)</calculatedColumnFormula>
    </tableColumn>
    <tableColumn id="26" xr3:uid="{00000000-0010-0000-0000-00001A000000}" name="PP9 - acquistion (incl. growth)" dataDxfId="31">
      <calculatedColumnFormula>Z8+(Z8*Q8)</calculatedColumnFormula>
    </tableColumn>
    <tableColumn id="27" xr3:uid="{00000000-0010-0000-0000-00001B000000}" name="PP10 - acquistion (incl. growth)" dataDxfId="30">
      <calculatedColumnFormula>AA8+(AA8*R8)</calculatedColumnFormula>
    </tableColumn>
  </tableColumns>
  <tableStyleInfo name="Table Style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9" displayName="Table49" ref="B24:L32" totalsRowShown="0" headerRowDxfId="29" headerRowBorderDxfId="28" tableBorderDxfId="27">
  <autoFilter ref="B24:L32" xr:uid="{00000000-0009-0000-0100-000002000000}"/>
  <tableColumns count="11">
    <tableColumn id="1" xr3:uid="{00000000-0010-0000-0100-000001000000}" name="Countries" dataDxfId="26"/>
    <tableColumn id="2" xr3:uid="{00000000-0010-0000-0100-000002000000}" name="PP1" dataDxfId="25"/>
    <tableColumn id="3" xr3:uid="{00000000-0010-0000-0100-000003000000}" name="PP2" dataDxfId="24"/>
    <tableColumn id="4" xr3:uid="{00000000-0010-0000-0100-000004000000}" name="PP3" dataDxfId="23"/>
    <tableColumn id="5" xr3:uid="{00000000-0010-0000-0100-000005000000}" name="PP4" dataDxfId="22"/>
    <tableColumn id="6" xr3:uid="{00000000-0010-0000-0100-000006000000}" name="PP5" dataDxfId="21"/>
    <tableColumn id="7" xr3:uid="{00000000-0010-0000-0100-000007000000}" name="PP6" dataDxfId="20"/>
    <tableColumn id="8" xr3:uid="{00000000-0010-0000-0100-000008000000}" name="PP7" dataDxfId="19"/>
    <tableColumn id="9" xr3:uid="{00000000-0010-0000-0100-000009000000}" name="PP8" dataDxfId="18"/>
    <tableColumn id="10" xr3:uid="{00000000-0010-0000-0100-00000A000000}" name="PP9" dataDxfId="17">
      <calculatedColumnFormula>SUM(G25:J25)</calculatedColumnFormula>
    </tableColumn>
    <tableColumn id="11" xr3:uid="{00000000-0010-0000-0100-00000B000000}" name="PP10" dataDxfId="16"/>
  </tableColumns>
  <tableStyleInfo name="Table Style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10" displayName="Table510" ref="B36:M45" totalsRowShown="0" headerRowDxfId="15" dataDxfId="13" headerRowBorderDxfId="14">
  <autoFilter ref="B36:M45" xr:uid="{00000000-0009-0000-0100-000003000000}"/>
  <tableColumns count="12">
    <tableColumn id="1" xr3:uid="{00000000-0010-0000-0200-000001000000}" name="Countries" dataDxfId="12"/>
    <tableColumn id="2" xr3:uid="{00000000-0010-0000-0200-000002000000}" name="PP1" dataDxfId="11"/>
    <tableColumn id="3" xr3:uid="{00000000-0010-0000-0200-000003000000}" name="PP2" dataDxfId="10"/>
    <tableColumn id="4" xr3:uid="{00000000-0010-0000-0200-000004000000}" name="PP3" dataDxfId="9"/>
    <tableColumn id="5" xr3:uid="{00000000-0010-0000-0200-000005000000}" name="PP4" dataDxfId="8"/>
    <tableColumn id="6" xr3:uid="{00000000-0010-0000-0200-000006000000}" name="PP5" dataDxfId="7"/>
    <tableColumn id="7" xr3:uid="{00000000-0010-0000-0200-000007000000}" name="PP6" dataDxfId="6"/>
    <tableColumn id="8" xr3:uid="{00000000-0010-0000-0200-000008000000}" name="PP7" dataDxfId="5"/>
    <tableColumn id="9" xr3:uid="{00000000-0010-0000-0200-000009000000}" name="PP8" dataDxfId="4"/>
    <tableColumn id="10" xr3:uid="{00000000-0010-0000-0200-00000A000000}" name="PP9" dataDxfId="3"/>
    <tableColumn id="11" xr3:uid="{00000000-0010-0000-0200-00000B000000}" name="PP10" dataDxfId="2"/>
    <tableColumn id="12" xr3:uid="{00000000-0010-0000-0200-00000C000000}" name="Total" dataDxfId="1"/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79998168889431442"/>
  </sheetPr>
  <dimension ref="A2:AB164"/>
  <sheetViews>
    <sheetView showGridLines="0" tabSelected="1" zoomScaleNormal="100" workbookViewId="0">
      <selection activeCell="C8" sqref="C8"/>
    </sheetView>
  </sheetViews>
  <sheetFormatPr baseColWidth="10" defaultColWidth="10.83203125" defaultRowHeight="16"/>
  <cols>
    <col min="1" max="1" width="3.83203125" style="8" customWidth="1"/>
    <col min="2" max="2" width="25.83203125" style="5" customWidth="1"/>
    <col min="3" max="3" width="20.83203125" style="6" customWidth="1"/>
    <col min="4" max="4" width="16.5" style="6" customWidth="1"/>
    <col min="5" max="11" width="20.83203125" style="7" customWidth="1"/>
    <col min="12" max="18" width="20.83203125" style="8" customWidth="1"/>
    <col min="19" max="28" width="20.83203125" style="7" customWidth="1"/>
    <col min="29" max="29" width="10.83203125" style="8" customWidth="1"/>
    <col min="30" max="16384" width="10.83203125" style="8"/>
  </cols>
  <sheetData>
    <row r="2" spans="2:28" s="4" customFormat="1" ht="30" customHeight="1">
      <c r="B2" s="1" t="s">
        <v>0</v>
      </c>
      <c r="C2" s="2"/>
      <c r="D2" s="2"/>
      <c r="E2" s="3"/>
      <c r="F2" s="3"/>
      <c r="G2" s="3"/>
      <c r="H2" s="3"/>
      <c r="I2" s="3"/>
      <c r="J2" s="3"/>
      <c r="K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2:28" ht="5" customHeight="1"/>
    <row r="4" spans="2:28" ht="20" customHeight="1">
      <c r="B4" s="9" t="s">
        <v>1</v>
      </c>
      <c r="D4" s="121" t="s">
        <v>2</v>
      </c>
    </row>
    <row r="5" spans="2:28" ht="5" customHeight="1"/>
    <row r="6" spans="2:28" ht="15" customHeight="1">
      <c r="C6" s="10" t="s">
        <v>3</v>
      </c>
      <c r="D6" s="11"/>
      <c r="E6" s="12"/>
      <c r="F6" s="12"/>
      <c r="G6" s="12"/>
      <c r="H6" s="12"/>
      <c r="I6" s="13" t="s">
        <v>4</v>
      </c>
      <c r="J6" s="14"/>
      <c r="K6" s="14"/>
      <c r="L6" s="15"/>
      <c r="M6" s="15"/>
      <c r="N6" s="15"/>
      <c r="O6" s="15"/>
      <c r="P6" s="15"/>
      <c r="Q6" s="15"/>
      <c r="R6" s="15"/>
      <c r="S6" s="16" t="s">
        <v>5</v>
      </c>
      <c r="T6" s="17"/>
      <c r="U6" s="17"/>
      <c r="V6" s="17"/>
      <c r="W6" s="17"/>
      <c r="X6" s="17"/>
      <c r="Y6" s="17"/>
      <c r="Z6" s="17"/>
      <c r="AA6" s="17"/>
      <c r="AB6" s="17"/>
    </row>
    <row r="7" spans="2:28" s="22" customFormat="1" ht="30" customHeight="1">
      <c r="B7" s="18" t="s">
        <v>6</v>
      </c>
      <c r="C7" s="18" t="s">
        <v>7</v>
      </c>
      <c r="D7" s="18" t="s">
        <v>8</v>
      </c>
      <c r="E7" s="19" t="s">
        <v>9</v>
      </c>
      <c r="F7" s="20" t="s">
        <v>10</v>
      </c>
      <c r="G7" s="21" t="s">
        <v>11</v>
      </c>
      <c r="H7" s="21" t="s">
        <v>12</v>
      </c>
      <c r="I7" s="19" t="s">
        <v>13</v>
      </c>
      <c r="J7" s="19" t="s">
        <v>14</v>
      </c>
      <c r="K7" s="19" t="s">
        <v>15</v>
      </c>
      <c r="L7" s="19" t="s">
        <v>16</v>
      </c>
      <c r="M7" s="19" t="s">
        <v>17</v>
      </c>
      <c r="N7" s="19" t="s">
        <v>18</v>
      </c>
      <c r="O7" s="19" t="s">
        <v>19</v>
      </c>
      <c r="P7" s="19" t="s">
        <v>20</v>
      </c>
      <c r="Q7" s="19" t="s">
        <v>21</v>
      </c>
      <c r="R7" s="19" t="s">
        <v>22</v>
      </c>
      <c r="S7" s="21" t="s">
        <v>23</v>
      </c>
      <c r="T7" s="21" t="s">
        <v>24</v>
      </c>
      <c r="U7" s="21" t="s">
        <v>25</v>
      </c>
      <c r="V7" s="21" t="s">
        <v>26</v>
      </c>
      <c r="W7" s="21" t="s">
        <v>27</v>
      </c>
      <c r="X7" s="21" t="s">
        <v>28</v>
      </c>
      <c r="Y7" s="21" t="s">
        <v>29</v>
      </c>
      <c r="Z7" s="21" t="s">
        <v>30</v>
      </c>
      <c r="AA7" s="21" t="s">
        <v>31</v>
      </c>
      <c r="AB7" s="21" t="s">
        <v>32</v>
      </c>
    </row>
    <row r="8" spans="2:28" ht="20" customHeight="1">
      <c r="B8" s="23" t="s">
        <v>33</v>
      </c>
      <c r="C8" s="24">
        <v>1</v>
      </c>
      <c r="D8" s="25">
        <f>Table38[[#This Row],[Target cards allocation (27''F)]]/$C$16</f>
        <v>0.125</v>
      </c>
      <c r="E8" s="25">
        <v>1</v>
      </c>
      <c r="F8" s="24">
        <f>Table38[[#This Row],[Target cards allocation (27''F)]]/Table38[[#This Row],[Market Share]]</f>
        <v>1</v>
      </c>
      <c r="G8" s="24">
        <f>Table38[[#This Row],[Market Potential (27''F)]]*$C$19</f>
        <v>1</v>
      </c>
      <c r="H8" s="24">
        <f>Table38[[#This Row],[Max. Acquisition]]*Table38[[#This Row],[Market Share]]</f>
        <v>1</v>
      </c>
      <c r="I8" s="26">
        <v>1</v>
      </c>
      <c r="J8" s="26">
        <v>1</v>
      </c>
      <c r="K8" s="26">
        <v>1</v>
      </c>
      <c r="L8" s="26">
        <v>1</v>
      </c>
      <c r="M8" s="26">
        <v>1</v>
      </c>
      <c r="N8" s="26">
        <v>1</v>
      </c>
      <c r="O8" s="26">
        <v>1</v>
      </c>
      <c r="P8" s="26">
        <v>1</v>
      </c>
      <c r="Q8" s="26">
        <v>1</v>
      </c>
      <c r="R8" s="26">
        <v>1</v>
      </c>
      <c r="S8" s="24">
        <f t="shared" ref="S8:S15" si="0">H8</f>
        <v>1</v>
      </c>
      <c r="T8" s="24">
        <f t="shared" ref="T8:AB15" si="1">S8+(S8*J8)</f>
        <v>2</v>
      </c>
      <c r="U8" s="24">
        <f t="shared" si="1"/>
        <v>4</v>
      </c>
      <c r="V8" s="24">
        <f t="shared" si="1"/>
        <v>8</v>
      </c>
      <c r="W8" s="24">
        <f t="shared" si="1"/>
        <v>16</v>
      </c>
      <c r="X8" s="24">
        <f t="shared" si="1"/>
        <v>32</v>
      </c>
      <c r="Y8" s="24">
        <f t="shared" si="1"/>
        <v>64</v>
      </c>
      <c r="Z8" s="24">
        <f t="shared" si="1"/>
        <v>128</v>
      </c>
      <c r="AA8" s="24">
        <f t="shared" si="1"/>
        <v>256</v>
      </c>
      <c r="AB8" s="27">
        <f t="shared" si="1"/>
        <v>512</v>
      </c>
    </row>
    <row r="9" spans="2:28" ht="20" customHeight="1">
      <c r="B9" s="28" t="s">
        <v>34</v>
      </c>
      <c r="C9" s="29">
        <v>1</v>
      </c>
      <c r="D9" s="30">
        <f>Table38[[#This Row],[Target cards allocation (27''F)]]/$C$16</f>
        <v>0.125</v>
      </c>
      <c r="E9" s="30">
        <v>1</v>
      </c>
      <c r="F9" s="29">
        <f>Table38[[#This Row],[Target cards allocation (27''F)]]/Table38[[#This Row],[Market Share]]</f>
        <v>1</v>
      </c>
      <c r="G9" s="29">
        <f>Table38[[#This Row],[Market Potential (27''F)]]*$C$19</f>
        <v>1</v>
      </c>
      <c r="H9" s="29">
        <f>Table38[[#This Row],[Max. Acquisition]]*Table38[[#This Row],[Market Share]]</f>
        <v>1</v>
      </c>
      <c r="I9" s="31">
        <v>1</v>
      </c>
      <c r="J9" s="31">
        <v>1</v>
      </c>
      <c r="K9" s="31">
        <v>1</v>
      </c>
      <c r="L9" s="31">
        <v>1</v>
      </c>
      <c r="M9" s="31">
        <v>1</v>
      </c>
      <c r="N9" s="31">
        <v>1</v>
      </c>
      <c r="O9" s="31">
        <v>1</v>
      </c>
      <c r="P9" s="31">
        <v>1</v>
      </c>
      <c r="Q9" s="31">
        <v>1</v>
      </c>
      <c r="R9" s="31">
        <v>1</v>
      </c>
      <c r="S9" s="29">
        <f t="shared" si="0"/>
        <v>1</v>
      </c>
      <c r="T9" s="29">
        <f t="shared" si="1"/>
        <v>2</v>
      </c>
      <c r="U9" s="29">
        <f t="shared" si="1"/>
        <v>4</v>
      </c>
      <c r="V9" s="29">
        <f t="shared" si="1"/>
        <v>8</v>
      </c>
      <c r="W9" s="29">
        <f t="shared" si="1"/>
        <v>16</v>
      </c>
      <c r="X9" s="29">
        <f t="shared" si="1"/>
        <v>32</v>
      </c>
      <c r="Y9" s="29">
        <f t="shared" si="1"/>
        <v>64</v>
      </c>
      <c r="Z9" s="29">
        <f t="shared" si="1"/>
        <v>128</v>
      </c>
      <c r="AA9" s="29">
        <f t="shared" si="1"/>
        <v>256</v>
      </c>
      <c r="AB9" s="32">
        <f t="shared" si="1"/>
        <v>512</v>
      </c>
    </row>
    <row r="10" spans="2:28" ht="20" customHeight="1">
      <c r="B10" s="28" t="s">
        <v>35</v>
      </c>
      <c r="C10" s="29">
        <v>1</v>
      </c>
      <c r="D10" s="30">
        <f>Table38[[#This Row],[Target cards allocation (27''F)]]/$C$16</f>
        <v>0.125</v>
      </c>
      <c r="E10" s="30">
        <v>1</v>
      </c>
      <c r="F10" s="29">
        <f>Table38[[#This Row],[Target cards allocation (27''F)]]/Table38[[#This Row],[Market Share]]</f>
        <v>1</v>
      </c>
      <c r="G10" s="29">
        <f>Table38[[#This Row],[Market Potential (27''F)]]*$C$19</f>
        <v>1</v>
      </c>
      <c r="H10" s="29">
        <f>Table38[[#This Row],[Max. Acquisition]]*Table38[[#This Row],[Market Share]]</f>
        <v>1</v>
      </c>
      <c r="I10" s="31">
        <v>1</v>
      </c>
      <c r="J10" s="31">
        <v>1</v>
      </c>
      <c r="K10" s="31">
        <v>1</v>
      </c>
      <c r="L10" s="31">
        <v>1</v>
      </c>
      <c r="M10" s="31">
        <v>1</v>
      </c>
      <c r="N10" s="31">
        <v>1</v>
      </c>
      <c r="O10" s="31">
        <v>1</v>
      </c>
      <c r="P10" s="31">
        <v>1</v>
      </c>
      <c r="Q10" s="31">
        <v>1</v>
      </c>
      <c r="R10" s="31">
        <v>1</v>
      </c>
      <c r="S10" s="29">
        <f t="shared" si="0"/>
        <v>1</v>
      </c>
      <c r="T10" s="29">
        <f t="shared" si="1"/>
        <v>2</v>
      </c>
      <c r="U10" s="29">
        <f t="shared" si="1"/>
        <v>4</v>
      </c>
      <c r="V10" s="29">
        <f t="shared" si="1"/>
        <v>8</v>
      </c>
      <c r="W10" s="29">
        <f t="shared" si="1"/>
        <v>16</v>
      </c>
      <c r="X10" s="29">
        <f t="shared" si="1"/>
        <v>32</v>
      </c>
      <c r="Y10" s="29">
        <f t="shared" si="1"/>
        <v>64</v>
      </c>
      <c r="Z10" s="29">
        <f t="shared" si="1"/>
        <v>128</v>
      </c>
      <c r="AA10" s="29">
        <f t="shared" si="1"/>
        <v>256</v>
      </c>
      <c r="AB10" s="32">
        <f t="shared" si="1"/>
        <v>512</v>
      </c>
    </row>
    <row r="11" spans="2:28" ht="20" customHeight="1">
      <c r="B11" s="28" t="s">
        <v>36</v>
      </c>
      <c r="C11" s="29">
        <v>1</v>
      </c>
      <c r="D11" s="30">
        <f>Table38[[#This Row],[Target cards allocation (27''F)]]/$C$16</f>
        <v>0.125</v>
      </c>
      <c r="E11" s="30">
        <v>1</v>
      </c>
      <c r="F11" s="29">
        <f>Table38[[#This Row],[Target cards allocation (27''F)]]/Table38[[#This Row],[Market Share]]</f>
        <v>1</v>
      </c>
      <c r="G11" s="29">
        <f>Table38[[#This Row],[Market Potential (27''F)]]*$C$19</f>
        <v>1</v>
      </c>
      <c r="H11" s="29">
        <f>Table38[[#This Row],[Max. Acquisition]]*Table38[[#This Row],[Market Share]]</f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1">
        <v>1</v>
      </c>
      <c r="S11" s="29">
        <f t="shared" si="0"/>
        <v>1</v>
      </c>
      <c r="T11" s="29">
        <f t="shared" si="1"/>
        <v>2</v>
      </c>
      <c r="U11" s="29">
        <f t="shared" si="1"/>
        <v>4</v>
      </c>
      <c r="V11" s="29">
        <f t="shared" si="1"/>
        <v>8</v>
      </c>
      <c r="W11" s="29">
        <f t="shared" si="1"/>
        <v>16</v>
      </c>
      <c r="X11" s="29">
        <f t="shared" si="1"/>
        <v>32</v>
      </c>
      <c r="Y11" s="29">
        <f t="shared" si="1"/>
        <v>64</v>
      </c>
      <c r="Z11" s="29">
        <f t="shared" si="1"/>
        <v>128</v>
      </c>
      <c r="AA11" s="29">
        <f t="shared" si="1"/>
        <v>256</v>
      </c>
      <c r="AB11" s="32">
        <f t="shared" si="1"/>
        <v>512</v>
      </c>
    </row>
    <row r="12" spans="2:28" ht="20" customHeight="1">
      <c r="B12" s="28" t="s">
        <v>37</v>
      </c>
      <c r="C12" s="29">
        <v>1</v>
      </c>
      <c r="D12" s="30">
        <f>Table38[[#This Row],[Target cards allocation (27''F)]]/$C$16</f>
        <v>0.125</v>
      </c>
      <c r="E12" s="30">
        <v>1</v>
      </c>
      <c r="F12" s="29">
        <f>Table38[[#This Row],[Target cards allocation (27''F)]]/Table38[[#This Row],[Market Share]]</f>
        <v>1</v>
      </c>
      <c r="G12" s="29">
        <f>Table38[[#This Row],[Market Potential (27''F)]]*$C$19</f>
        <v>1</v>
      </c>
      <c r="H12" s="29">
        <f>Table38[[#This Row],[Max. Acquisition]]*Table38[[#This Row],[Market Share]]</f>
        <v>1</v>
      </c>
      <c r="I12" s="31">
        <v>1</v>
      </c>
      <c r="J12" s="31">
        <v>1</v>
      </c>
      <c r="K12" s="31">
        <v>1</v>
      </c>
      <c r="L12" s="31">
        <v>1</v>
      </c>
      <c r="M12" s="31">
        <v>1</v>
      </c>
      <c r="N12" s="31">
        <v>1</v>
      </c>
      <c r="O12" s="31">
        <v>1</v>
      </c>
      <c r="P12" s="31">
        <v>1</v>
      </c>
      <c r="Q12" s="31">
        <v>1</v>
      </c>
      <c r="R12" s="31">
        <v>1</v>
      </c>
      <c r="S12" s="29">
        <f t="shared" si="0"/>
        <v>1</v>
      </c>
      <c r="T12" s="29">
        <f t="shared" si="1"/>
        <v>2</v>
      </c>
      <c r="U12" s="29">
        <f t="shared" si="1"/>
        <v>4</v>
      </c>
      <c r="V12" s="29">
        <f t="shared" si="1"/>
        <v>8</v>
      </c>
      <c r="W12" s="29">
        <f t="shared" si="1"/>
        <v>16</v>
      </c>
      <c r="X12" s="29">
        <f t="shared" si="1"/>
        <v>32</v>
      </c>
      <c r="Y12" s="29">
        <f t="shared" si="1"/>
        <v>64</v>
      </c>
      <c r="Z12" s="29">
        <f t="shared" si="1"/>
        <v>128</v>
      </c>
      <c r="AA12" s="29">
        <f t="shared" si="1"/>
        <v>256</v>
      </c>
      <c r="AB12" s="32">
        <f t="shared" si="1"/>
        <v>512</v>
      </c>
    </row>
    <row r="13" spans="2:28" ht="20" customHeight="1">
      <c r="B13" s="28" t="s">
        <v>38</v>
      </c>
      <c r="C13" s="29">
        <v>1</v>
      </c>
      <c r="D13" s="30">
        <f>Table38[[#This Row],[Target cards allocation (27''F)]]/$C$16</f>
        <v>0.125</v>
      </c>
      <c r="E13" s="30">
        <v>1</v>
      </c>
      <c r="F13" s="29">
        <f>Table38[[#This Row],[Target cards allocation (27''F)]]/Table38[[#This Row],[Market Share]]</f>
        <v>1</v>
      </c>
      <c r="G13" s="29">
        <f>Table38[[#This Row],[Market Potential (27''F)]]*$C$19</f>
        <v>1</v>
      </c>
      <c r="H13" s="29">
        <f>Table38[[#This Row],[Max. Acquisition]]*Table38[[#This Row],[Market Share]]</f>
        <v>1</v>
      </c>
      <c r="I13" s="31">
        <v>1</v>
      </c>
      <c r="J13" s="31">
        <v>1</v>
      </c>
      <c r="K13" s="31">
        <v>1</v>
      </c>
      <c r="L13" s="31">
        <v>1</v>
      </c>
      <c r="M13" s="31">
        <v>1</v>
      </c>
      <c r="N13" s="31">
        <v>1</v>
      </c>
      <c r="O13" s="31">
        <v>1</v>
      </c>
      <c r="P13" s="31">
        <v>1</v>
      </c>
      <c r="Q13" s="31">
        <v>1</v>
      </c>
      <c r="R13" s="31">
        <v>1</v>
      </c>
      <c r="S13" s="29">
        <f t="shared" si="0"/>
        <v>1</v>
      </c>
      <c r="T13" s="29">
        <f t="shared" si="1"/>
        <v>2</v>
      </c>
      <c r="U13" s="29">
        <f t="shared" si="1"/>
        <v>4</v>
      </c>
      <c r="V13" s="29">
        <f t="shared" si="1"/>
        <v>8</v>
      </c>
      <c r="W13" s="29">
        <f t="shared" si="1"/>
        <v>16</v>
      </c>
      <c r="X13" s="29">
        <f t="shared" si="1"/>
        <v>32</v>
      </c>
      <c r="Y13" s="29">
        <f t="shared" si="1"/>
        <v>64</v>
      </c>
      <c r="Z13" s="29">
        <f t="shared" si="1"/>
        <v>128</v>
      </c>
      <c r="AA13" s="29">
        <f t="shared" si="1"/>
        <v>256</v>
      </c>
      <c r="AB13" s="32">
        <f t="shared" si="1"/>
        <v>512</v>
      </c>
    </row>
    <row r="14" spans="2:28" ht="20" customHeight="1">
      <c r="B14" s="28" t="s">
        <v>39</v>
      </c>
      <c r="C14" s="29">
        <v>1</v>
      </c>
      <c r="D14" s="30">
        <f>Table38[[#This Row],[Target cards allocation (27''F)]]/$C$16</f>
        <v>0.125</v>
      </c>
      <c r="E14" s="30">
        <v>1</v>
      </c>
      <c r="F14" s="29">
        <f>Table38[[#This Row],[Target cards allocation (27''F)]]/Table38[[#This Row],[Market Share]]</f>
        <v>1</v>
      </c>
      <c r="G14" s="29">
        <f>Table38[[#This Row],[Market Potential (27''F)]]*$C$19</f>
        <v>1</v>
      </c>
      <c r="H14" s="29">
        <f>Table38[[#This Row],[Max. Acquisition]]*Table38[[#This Row],[Market Share]]</f>
        <v>1</v>
      </c>
      <c r="I14" s="31">
        <v>1</v>
      </c>
      <c r="J14" s="31">
        <v>1</v>
      </c>
      <c r="K14" s="31">
        <v>1</v>
      </c>
      <c r="L14" s="31">
        <v>1</v>
      </c>
      <c r="M14" s="31">
        <v>1</v>
      </c>
      <c r="N14" s="31">
        <v>1</v>
      </c>
      <c r="O14" s="31">
        <v>1</v>
      </c>
      <c r="P14" s="31">
        <v>1</v>
      </c>
      <c r="Q14" s="31">
        <v>1</v>
      </c>
      <c r="R14" s="31">
        <v>1</v>
      </c>
      <c r="S14" s="29">
        <f t="shared" si="0"/>
        <v>1</v>
      </c>
      <c r="T14" s="29">
        <f t="shared" si="1"/>
        <v>2</v>
      </c>
      <c r="U14" s="29">
        <f t="shared" si="1"/>
        <v>4</v>
      </c>
      <c r="V14" s="29">
        <f t="shared" si="1"/>
        <v>8</v>
      </c>
      <c r="W14" s="29">
        <f t="shared" si="1"/>
        <v>16</v>
      </c>
      <c r="X14" s="29">
        <f t="shared" si="1"/>
        <v>32</v>
      </c>
      <c r="Y14" s="29">
        <f t="shared" si="1"/>
        <v>64</v>
      </c>
      <c r="Z14" s="29">
        <f t="shared" si="1"/>
        <v>128</v>
      </c>
      <c r="AA14" s="29">
        <f t="shared" si="1"/>
        <v>256</v>
      </c>
      <c r="AB14" s="32">
        <f t="shared" si="1"/>
        <v>512</v>
      </c>
    </row>
    <row r="15" spans="2:28" ht="20" customHeight="1">
      <c r="B15" s="33" t="s">
        <v>40</v>
      </c>
      <c r="C15" s="34">
        <v>1</v>
      </c>
      <c r="D15" s="35">
        <f>Table38[[#This Row],[Target cards allocation (27''F)]]/$C$16</f>
        <v>0.125</v>
      </c>
      <c r="E15" s="35">
        <v>1</v>
      </c>
      <c r="F15" s="34">
        <f>Table38[[#This Row],[Target cards allocation (27''F)]]/Table38[[#This Row],[Market Share]]</f>
        <v>1</v>
      </c>
      <c r="G15" s="34">
        <f>Table38[[#This Row],[Market Potential (27''F)]]*$C$19</f>
        <v>1</v>
      </c>
      <c r="H15" s="34">
        <f>Table38[[#This Row],[Max. Acquisition]]*Table38[[#This Row],[Market Share]]</f>
        <v>1</v>
      </c>
      <c r="I15" s="36">
        <v>1</v>
      </c>
      <c r="J15" s="36">
        <v>1</v>
      </c>
      <c r="K15" s="36">
        <v>1</v>
      </c>
      <c r="L15" s="36">
        <v>1</v>
      </c>
      <c r="M15" s="36">
        <v>1</v>
      </c>
      <c r="N15" s="36">
        <v>1</v>
      </c>
      <c r="O15" s="36">
        <v>1</v>
      </c>
      <c r="P15" s="36">
        <v>1</v>
      </c>
      <c r="Q15" s="36">
        <v>1</v>
      </c>
      <c r="R15" s="36">
        <v>1</v>
      </c>
      <c r="S15" s="34">
        <f t="shared" si="0"/>
        <v>1</v>
      </c>
      <c r="T15" s="34">
        <f t="shared" si="1"/>
        <v>2</v>
      </c>
      <c r="U15" s="34">
        <f t="shared" si="1"/>
        <v>4</v>
      </c>
      <c r="V15" s="34">
        <f t="shared" si="1"/>
        <v>8</v>
      </c>
      <c r="W15" s="34">
        <f t="shared" si="1"/>
        <v>16</v>
      </c>
      <c r="X15" s="34">
        <f t="shared" si="1"/>
        <v>32</v>
      </c>
      <c r="Y15" s="34">
        <f t="shared" si="1"/>
        <v>64</v>
      </c>
      <c r="Z15" s="34">
        <f t="shared" si="1"/>
        <v>128</v>
      </c>
      <c r="AA15" s="34">
        <f t="shared" si="1"/>
        <v>256</v>
      </c>
      <c r="AB15" s="37">
        <f t="shared" si="1"/>
        <v>512</v>
      </c>
    </row>
    <row r="16" spans="2:28" ht="20" customHeight="1">
      <c r="B16" s="38" t="s">
        <v>41</v>
      </c>
      <c r="C16" s="39">
        <f>SUM(C8:C15)</f>
        <v>8</v>
      </c>
      <c r="D16" s="40">
        <f>Table38[[#This Row],[Target cards allocation (27''F)]]/$C$16</f>
        <v>1</v>
      </c>
      <c r="E16" s="40"/>
      <c r="F16" s="39">
        <f>SUM(F8:F15)</f>
        <v>8</v>
      </c>
      <c r="G16" s="39">
        <f>SUM(G8:G15)</f>
        <v>8</v>
      </c>
      <c r="H16" s="39">
        <f>SUM(H8:H15)</f>
        <v>8</v>
      </c>
      <c r="I16" s="39"/>
      <c r="J16" s="39"/>
      <c r="K16" s="41"/>
      <c r="L16" s="42"/>
      <c r="M16" s="42"/>
      <c r="N16" s="42"/>
      <c r="O16" s="42"/>
      <c r="P16" s="42"/>
      <c r="Q16" s="42"/>
      <c r="R16" s="42"/>
      <c r="S16" s="39">
        <f t="shared" ref="S16:AB16" si="2">SUM(S8:S15)</f>
        <v>8</v>
      </c>
      <c r="T16" s="39">
        <f t="shared" si="2"/>
        <v>16</v>
      </c>
      <c r="U16" s="39">
        <f t="shared" si="2"/>
        <v>32</v>
      </c>
      <c r="V16" s="39">
        <f t="shared" si="2"/>
        <v>64</v>
      </c>
      <c r="W16" s="39">
        <f t="shared" si="2"/>
        <v>128</v>
      </c>
      <c r="X16" s="39">
        <f t="shared" si="2"/>
        <v>256</v>
      </c>
      <c r="Y16" s="39">
        <f t="shared" si="2"/>
        <v>512</v>
      </c>
      <c r="Z16" s="39">
        <f t="shared" si="2"/>
        <v>1024</v>
      </c>
      <c r="AA16" s="39">
        <f t="shared" si="2"/>
        <v>2048</v>
      </c>
      <c r="AB16" s="39">
        <f t="shared" si="2"/>
        <v>4096</v>
      </c>
    </row>
    <row r="17" spans="1:28" ht="20" customHeight="1"/>
    <row r="18" spans="1:28" ht="20" customHeight="1">
      <c r="B18" s="38" t="s">
        <v>42</v>
      </c>
    </row>
    <row r="19" spans="1:28" ht="20" customHeight="1">
      <c r="A19" s="43"/>
      <c r="B19" s="44" t="s">
        <v>43</v>
      </c>
      <c r="C19" s="45">
        <v>1</v>
      </c>
    </row>
    <row r="20" spans="1:28" ht="20" customHeight="1">
      <c r="C20" s="46"/>
    </row>
    <row r="21" spans="1:28" ht="20" customHeight="1"/>
    <row r="22" spans="1:28" ht="30" customHeight="1">
      <c r="B22" s="9" t="s">
        <v>44</v>
      </c>
    </row>
    <row r="23" spans="1:28" ht="5" customHeight="1"/>
    <row r="24" spans="1:28" ht="30" customHeight="1">
      <c r="B24" s="47" t="s">
        <v>6</v>
      </c>
      <c r="C24" s="48" t="s">
        <v>13</v>
      </c>
      <c r="D24" s="48" t="s">
        <v>14</v>
      </c>
      <c r="E24" s="48" t="s">
        <v>15</v>
      </c>
      <c r="F24" s="48" t="s">
        <v>16</v>
      </c>
      <c r="G24" s="48" t="s">
        <v>17</v>
      </c>
      <c r="H24" s="48" t="s">
        <v>18</v>
      </c>
      <c r="I24" s="48" t="s">
        <v>19</v>
      </c>
      <c r="J24" s="48" t="s">
        <v>20</v>
      </c>
      <c r="K24" s="48" t="s">
        <v>21</v>
      </c>
      <c r="L24" s="48" t="s">
        <v>22</v>
      </c>
      <c r="M24" s="49"/>
      <c r="N24" s="50"/>
      <c r="O24" s="50"/>
      <c r="P24" s="50"/>
      <c r="Q24" s="50"/>
      <c r="R24" s="50"/>
      <c r="S24" s="51"/>
      <c r="T24" s="51"/>
      <c r="U24" s="51"/>
      <c r="V24" s="51"/>
      <c r="W24" s="51"/>
      <c r="X24" s="51"/>
      <c r="Y24" s="51"/>
      <c r="Z24" s="51"/>
      <c r="AA24" s="51"/>
      <c r="AB24" s="51"/>
    </row>
    <row r="25" spans="1:28" ht="20" customHeight="1">
      <c r="A25" s="43"/>
      <c r="B25" s="23" t="s">
        <v>33</v>
      </c>
      <c r="C25" s="52" t="s">
        <v>45</v>
      </c>
      <c r="D25" s="25" t="s">
        <v>45</v>
      </c>
      <c r="E25" s="25" t="s">
        <v>45</v>
      </c>
      <c r="F25" s="52" t="s">
        <v>45</v>
      </c>
      <c r="G25" s="52" t="s">
        <v>45</v>
      </c>
      <c r="H25" s="52" t="s">
        <v>45</v>
      </c>
      <c r="I25" s="53" t="s">
        <v>45</v>
      </c>
      <c r="J25" s="52" t="s">
        <v>45</v>
      </c>
      <c r="K25" s="25" t="s">
        <v>45</v>
      </c>
      <c r="L25" s="25" t="s">
        <v>45</v>
      </c>
      <c r="M25" s="42"/>
      <c r="S25" s="54"/>
      <c r="T25" s="54"/>
      <c r="U25" s="54"/>
      <c r="V25" s="54"/>
      <c r="W25" s="54"/>
      <c r="X25" s="54"/>
      <c r="Y25" s="54"/>
      <c r="Z25" s="54"/>
      <c r="AA25" s="54"/>
      <c r="AB25" s="54"/>
    </row>
    <row r="26" spans="1:28" ht="20" customHeight="1">
      <c r="A26" s="43"/>
      <c r="B26" s="28" t="s">
        <v>34</v>
      </c>
      <c r="C26" s="55" t="s">
        <v>45</v>
      </c>
      <c r="D26" s="30" t="s">
        <v>45</v>
      </c>
      <c r="E26" s="30" t="s">
        <v>45</v>
      </c>
      <c r="F26" s="55" t="s">
        <v>45</v>
      </c>
      <c r="G26" s="55" t="s">
        <v>45</v>
      </c>
      <c r="H26" s="55" t="s">
        <v>45</v>
      </c>
      <c r="I26" s="56" t="s">
        <v>45</v>
      </c>
      <c r="J26" s="55" t="s">
        <v>45</v>
      </c>
      <c r="K26" s="30" t="s">
        <v>45</v>
      </c>
      <c r="L26" s="30" t="s">
        <v>45</v>
      </c>
      <c r="M26" s="42"/>
      <c r="S26" s="57"/>
      <c r="T26" s="57"/>
      <c r="U26" s="57"/>
      <c r="V26" s="57"/>
      <c r="W26" s="57"/>
      <c r="X26" s="57"/>
      <c r="Y26" s="57"/>
      <c r="Z26" s="57"/>
      <c r="AA26" s="57"/>
      <c r="AB26" s="57"/>
    </row>
    <row r="27" spans="1:28" ht="20" customHeight="1">
      <c r="A27" s="43"/>
      <c r="B27" s="28" t="s">
        <v>35</v>
      </c>
      <c r="C27" s="55" t="s">
        <v>45</v>
      </c>
      <c r="D27" s="30" t="s">
        <v>45</v>
      </c>
      <c r="E27" s="30" t="s">
        <v>45</v>
      </c>
      <c r="F27" s="55" t="s">
        <v>45</v>
      </c>
      <c r="G27" s="55" t="s">
        <v>45</v>
      </c>
      <c r="H27" s="55" t="s">
        <v>45</v>
      </c>
      <c r="I27" s="56" t="s">
        <v>45</v>
      </c>
      <c r="J27" s="55" t="s">
        <v>45</v>
      </c>
      <c r="K27" s="30" t="s">
        <v>45</v>
      </c>
      <c r="L27" s="30" t="s">
        <v>45</v>
      </c>
      <c r="M27" s="58"/>
      <c r="N27" s="59"/>
      <c r="O27" s="59"/>
      <c r="P27" s="59"/>
      <c r="Q27" s="59"/>
      <c r="R27" s="59"/>
      <c r="S27" s="54"/>
      <c r="T27" s="54"/>
      <c r="U27" s="54"/>
      <c r="V27" s="54"/>
      <c r="W27" s="54"/>
      <c r="X27" s="54"/>
      <c r="Y27" s="54"/>
      <c r="Z27" s="54"/>
      <c r="AA27" s="54"/>
      <c r="AB27" s="54"/>
    </row>
    <row r="28" spans="1:28" ht="20" customHeight="1">
      <c r="A28" s="43"/>
      <c r="B28" s="28" t="s">
        <v>36</v>
      </c>
      <c r="C28" s="55" t="s">
        <v>46</v>
      </c>
      <c r="D28" s="30" t="s">
        <v>45</v>
      </c>
      <c r="E28" s="30" t="s">
        <v>45</v>
      </c>
      <c r="F28" s="55" t="s">
        <v>45</v>
      </c>
      <c r="G28" s="55" t="s">
        <v>45</v>
      </c>
      <c r="H28" s="55" t="s">
        <v>45</v>
      </c>
      <c r="I28" s="56" t="s">
        <v>45</v>
      </c>
      <c r="J28" s="55" t="s">
        <v>45</v>
      </c>
      <c r="K28" s="30" t="s">
        <v>45</v>
      </c>
      <c r="L28" s="30" t="s">
        <v>45</v>
      </c>
      <c r="M28" s="42"/>
      <c r="S28" s="57"/>
      <c r="T28" s="57"/>
      <c r="U28" s="57"/>
      <c r="V28" s="57"/>
      <c r="W28" s="57"/>
      <c r="X28" s="57"/>
      <c r="Y28" s="57"/>
      <c r="Z28" s="57"/>
      <c r="AA28" s="57"/>
      <c r="AB28" s="57"/>
    </row>
    <row r="29" spans="1:28" ht="20" customHeight="1">
      <c r="A29" s="43"/>
      <c r="B29" s="28" t="s">
        <v>37</v>
      </c>
      <c r="C29" s="55" t="s">
        <v>46</v>
      </c>
      <c r="D29" s="30" t="s">
        <v>45</v>
      </c>
      <c r="E29" s="30" t="s">
        <v>45</v>
      </c>
      <c r="F29" s="55" t="s">
        <v>45</v>
      </c>
      <c r="G29" s="55" t="s">
        <v>45</v>
      </c>
      <c r="H29" s="55" t="s">
        <v>45</v>
      </c>
      <c r="I29" s="56" t="s">
        <v>45</v>
      </c>
      <c r="J29" s="55" t="s">
        <v>45</v>
      </c>
      <c r="K29" s="30" t="s">
        <v>45</v>
      </c>
      <c r="L29" s="30" t="s">
        <v>45</v>
      </c>
      <c r="M29" s="42"/>
      <c r="S29" s="57"/>
      <c r="T29" s="57"/>
      <c r="U29" s="57"/>
      <c r="V29" s="57"/>
      <c r="W29" s="57"/>
      <c r="X29" s="57"/>
      <c r="Y29" s="57"/>
      <c r="Z29" s="57"/>
      <c r="AA29" s="57"/>
      <c r="AB29" s="57"/>
    </row>
    <row r="30" spans="1:28" ht="20" customHeight="1">
      <c r="A30" s="43"/>
      <c r="B30" s="28" t="s">
        <v>38</v>
      </c>
      <c r="C30" s="55" t="s">
        <v>46</v>
      </c>
      <c r="D30" s="30" t="s">
        <v>46</v>
      </c>
      <c r="E30" s="30" t="s">
        <v>45</v>
      </c>
      <c r="F30" s="55" t="s">
        <v>45</v>
      </c>
      <c r="G30" s="55" t="s">
        <v>45</v>
      </c>
      <c r="H30" s="55" t="s">
        <v>45</v>
      </c>
      <c r="I30" s="56" t="s">
        <v>45</v>
      </c>
      <c r="J30" s="55" t="s">
        <v>45</v>
      </c>
      <c r="K30" s="30" t="s">
        <v>45</v>
      </c>
      <c r="L30" s="30" t="s">
        <v>45</v>
      </c>
      <c r="M30" s="42"/>
      <c r="S30" s="57"/>
      <c r="T30" s="57"/>
      <c r="U30" s="57"/>
      <c r="V30" s="57"/>
      <c r="W30" s="57"/>
      <c r="X30" s="57"/>
      <c r="Y30" s="57"/>
      <c r="Z30" s="57"/>
      <c r="AA30" s="57"/>
      <c r="AB30" s="57"/>
    </row>
    <row r="31" spans="1:28" ht="20" customHeight="1">
      <c r="A31" s="43"/>
      <c r="B31" s="28" t="s">
        <v>39</v>
      </c>
      <c r="C31" s="55" t="s">
        <v>46</v>
      </c>
      <c r="D31" s="30" t="s">
        <v>46</v>
      </c>
      <c r="E31" s="30" t="s">
        <v>45</v>
      </c>
      <c r="F31" s="55" t="s">
        <v>45</v>
      </c>
      <c r="G31" s="55" t="s">
        <v>45</v>
      </c>
      <c r="H31" s="55" t="s">
        <v>45</v>
      </c>
      <c r="I31" s="56" t="s">
        <v>45</v>
      </c>
      <c r="J31" s="55" t="s">
        <v>45</v>
      </c>
      <c r="K31" s="30" t="s">
        <v>45</v>
      </c>
      <c r="L31" s="30" t="s">
        <v>45</v>
      </c>
      <c r="M31" s="42"/>
      <c r="S31" s="57"/>
      <c r="T31" s="57"/>
      <c r="U31" s="57"/>
      <c r="V31" s="57"/>
      <c r="W31" s="57"/>
      <c r="X31" s="57"/>
      <c r="Y31" s="57"/>
      <c r="Z31" s="57"/>
      <c r="AA31" s="57"/>
      <c r="AB31" s="57"/>
    </row>
    <row r="32" spans="1:28" ht="20" customHeight="1">
      <c r="A32" s="43"/>
      <c r="B32" s="5" t="s">
        <v>40</v>
      </c>
      <c r="C32" s="60" t="s">
        <v>46</v>
      </c>
      <c r="D32" s="40" t="s">
        <v>46</v>
      </c>
      <c r="E32" s="40" t="s">
        <v>45</v>
      </c>
      <c r="F32" s="60" t="s">
        <v>45</v>
      </c>
      <c r="G32" s="60" t="s">
        <v>45</v>
      </c>
      <c r="H32" s="60" t="s">
        <v>45</v>
      </c>
      <c r="I32" s="61" t="s">
        <v>45</v>
      </c>
      <c r="J32" s="60" t="s">
        <v>45</v>
      </c>
      <c r="K32" s="40" t="s">
        <v>45</v>
      </c>
      <c r="L32" s="40" t="s">
        <v>45</v>
      </c>
      <c r="M32" s="42"/>
      <c r="S32" s="57"/>
      <c r="T32" s="57"/>
      <c r="U32" s="57"/>
      <c r="V32" s="57"/>
      <c r="W32" s="57"/>
      <c r="X32" s="57"/>
      <c r="Y32" s="57"/>
      <c r="Z32" s="57"/>
      <c r="AA32" s="57"/>
      <c r="AB32" s="57"/>
    </row>
    <row r="33" spans="2:28" ht="20" customHeight="1"/>
    <row r="34" spans="2:28" ht="30" customHeight="1">
      <c r="B34" s="9" t="s">
        <v>47</v>
      </c>
    </row>
    <row r="35" spans="2:28" ht="5" customHeight="1"/>
    <row r="36" spans="2:28" ht="30" customHeight="1">
      <c r="B36" s="47" t="s">
        <v>6</v>
      </c>
      <c r="C36" s="48" t="s">
        <v>13</v>
      </c>
      <c r="D36" s="48" t="s">
        <v>14</v>
      </c>
      <c r="E36" s="48" t="s">
        <v>15</v>
      </c>
      <c r="F36" s="48" t="s">
        <v>16</v>
      </c>
      <c r="G36" s="48" t="s">
        <v>17</v>
      </c>
      <c r="H36" s="48" t="s">
        <v>18</v>
      </c>
      <c r="I36" s="48" t="s">
        <v>19</v>
      </c>
      <c r="J36" s="48" t="s">
        <v>20</v>
      </c>
      <c r="K36" s="48" t="s">
        <v>21</v>
      </c>
      <c r="L36" s="48" t="s">
        <v>22</v>
      </c>
      <c r="M36" s="62" t="s">
        <v>41</v>
      </c>
      <c r="N36" s="50"/>
      <c r="O36" s="50"/>
      <c r="P36" s="50"/>
      <c r="Q36" s="50"/>
      <c r="R36" s="50"/>
      <c r="S36" s="51"/>
      <c r="T36" s="51"/>
      <c r="U36" s="51"/>
      <c r="V36" s="51"/>
      <c r="W36" s="51"/>
      <c r="X36" s="51"/>
      <c r="Y36" s="51"/>
      <c r="Z36" s="51"/>
      <c r="AA36" s="51"/>
      <c r="AB36" s="51"/>
    </row>
    <row r="37" spans="2:28" ht="20" customHeight="1">
      <c r="B37" s="63" t="s">
        <v>33</v>
      </c>
      <c r="C37" s="64">
        <f t="shared" ref="C37:L44" si="3">IF(C25="Yes",S8,IF(C25="Partially",S8/2,0))</f>
        <v>1</v>
      </c>
      <c r="D37" s="64">
        <f t="shared" si="3"/>
        <v>2</v>
      </c>
      <c r="E37" s="64">
        <f t="shared" si="3"/>
        <v>4</v>
      </c>
      <c r="F37" s="64">
        <f t="shared" si="3"/>
        <v>8</v>
      </c>
      <c r="G37" s="64">
        <f t="shared" si="3"/>
        <v>16</v>
      </c>
      <c r="H37" s="64">
        <f t="shared" si="3"/>
        <v>32</v>
      </c>
      <c r="I37" s="65">
        <f t="shared" si="3"/>
        <v>64</v>
      </c>
      <c r="J37" s="64">
        <f t="shared" si="3"/>
        <v>128</v>
      </c>
      <c r="K37" s="66">
        <f t="shared" si="3"/>
        <v>256</v>
      </c>
      <c r="L37" s="67">
        <f t="shared" si="3"/>
        <v>512</v>
      </c>
      <c r="M37" s="68">
        <f>SUM(C37:L37)</f>
        <v>1023</v>
      </c>
      <c r="S37" s="69"/>
      <c r="T37" s="69"/>
      <c r="U37" s="69"/>
      <c r="V37" s="69"/>
      <c r="W37" s="69"/>
      <c r="X37" s="69"/>
      <c r="Y37" s="69"/>
      <c r="Z37" s="69"/>
      <c r="AA37" s="69"/>
      <c r="AB37" s="69"/>
    </row>
    <row r="38" spans="2:28" ht="20" customHeight="1">
      <c r="B38" s="70" t="s">
        <v>34</v>
      </c>
      <c r="C38" s="71">
        <f t="shared" si="3"/>
        <v>1</v>
      </c>
      <c r="D38" s="71">
        <f t="shared" si="3"/>
        <v>2</v>
      </c>
      <c r="E38" s="71">
        <f t="shared" si="3"/>
        <v>4</v>
      </c>
      <c r="F38" s="71">
        <f t="shared" si="3"/>
        <v>8</v>
      </c>
      <c r="G38" s="71">
        <f t="shared" si="3"/>
        <v>16</v>
      </c>
      <c r="H38" s="71">
        <f t="shared" si="3"/>
        <v>32</v>
      </c>
      <c r="I38" s="72">
        <f t="shared" si="3"/>
        <v>64</v>
      </c>
      <c r="J38" s="71">
        <f t="shared" si="3"/>
        <v>128</v>
      </c>
      <c r="K38" s="73">
        <f t="shared" si="3"/>
        <v>256</v>
      </c>
      <c r="L38" s="74">
        <f t="shared" si="3"/>
        <v>512</v>
      </c>
      <c r="M38" s="75">
        <f>SUM(C38:L38)</f>
        <v>1023</v>
      </c>
      <c r="S38" s="69"/>
      <c r="T38" s="69"/>
      <c r="U38" s="69"/>
      <c r="V38" s="69"/>
      <c r="W38" s="69"/>
      <c r="X38" s="69"/>
      <c r="Y38" s="69"/>
      <c r="Z38" s="69"/>
      <c r="AA38" s="69"/>
      <c r="AB38" s="69"/>
    </row>
    <row r="39" spans="2:28" ht="20" customHeight="1">
      <c r="B39" s="70" t="s">
        <v>35</v>
      </c>
      <c r="C39" s="71">
        <f t="shared" si="3"/>
        <v>1</v>
      </c>
      <c r="D39" s="71">
        <f t="shared" si="3"/>
        <v>2</v>
      </c>
      <c r="E39" s="71">
        <f t="shared" si="3"/>
        <v>4</v>
      </c>
      <c r="F39" s="71">
        <f t="shared" si="3"/>
        <v>8</v>
      </c>
      <c r="G39" s="71">
        <f t="shared" si="3"/>
        <v>16</v>
      </c>
      <c r="H39" s="71">
        <f t="shared" si="3"/>
        <v>32</v>
      </c>
      <c r="I39" s="72">
        <f t="shared" si="3"/>
        <v>64</v>
      </c>
      <c r="J39" s="71">
        <f t="shared" si="3"/>
        <v>128</v>
      </c>
      <c r="K39" s="73">
        <f t="shared" si="3"/>
        <v>256</v>
      </c>
      <c r="L39" s="74">
        <f t="shared" si="3"/>
        <v>512</v>
      </c>
      <c r="M39" s="76" t="e">
        <f>SUM(C39:I65L39)</f>
        <v>#NAME?</v>
      </c>
      <c r="S39" s="69"/>
      <c r="T39" s="69"/>
      <c r="U39" s="69"/>
      <c r="V39" s="69"/>
      <c r="W39" s="69"/>
      <c r="X39" s="69"/>
      <c r="Y39" s="69"/>
      <c r="Z39" s="69"/>
      <c r="AA39" s="69"/>
      <c r="AB39" s="69"/>
    </row>
    <row r="40" spans="2:28" ht="20" customHeight="1">
      <c r="B40" s="70" t="s">
        <v>36</v>
      </c>
      <c r="C40" s="71">
        <f t="shared" si="3"/>
        <v>0</v>
      </c>
      <c r="D40" s="71">
        <f t="shared" si="3"/>
        <v>2</v>
      </c>
      <c r="E40" s="71">
        <f t="shared" si="3"/>
        <v>4</v>
      </c>
      <c r="F40" s="71">
        <f t="shared" si="3"/>
        <v>8</v>
      </c>
      <c r="G40" s="71">
        <f t="shared" si="3"/>
        <v>16</v>
      </c>
      <c r="H40" s="71">
        <f t="shared" si="3"/>
        <v>32</v>
      </c>
      <c r="I40" s="72">
        <f t="shared" si="3"/>
        <v>64</v>
      </c>
      <c r="J40" s="71">
        <f t="shared" si="3"/>
        <v>128</v>
      </c>
      <c r="K40" s="73">
        <f t="shared" si="3"/>
        <v>256</v>
      </c>
      <c r="L40" s="74">
        <f t="shared" si="3"/>
        <v>512</v>
      </c>
      <c r="M40" s="75">
        <f>SUM(C40:L40)</f>
        <v>1022</v>
      </c>
      <c r="S40" s="69"/>
      <c r="T40" s="69"/>
      <c r="U40" s="69"/>
      <c r="V40" s="69"/>
      <c r="W40" s="69"/>
      <c r="X40" s="69"/>
      <c r="Y40" s="69"/>
      <c r="Z40" s="69"/>
      <c r="AA40" s="69"/>
      <c r="AB40" s="69"/>
    </row>
    <row r="41" spans="2:28" ht="20" customHeight="1">
      <c r="B41" s="70" t="s">
        <v>37</v>
      </c>
      <c r="C41" s="71">
        <f t="shared" si="3"/>
        <v>0</v>
      </c>
      <c r="D41" s="71">
        <f t="shared" si="3"/>
        <v>2</v>
      </c>
      <c r="E41" s="71">
        <f t="shared" si="3"/>
        <v>4</v>
      </c>
      <c r="F41" s="71">
        <f t="shared" si="3"/>
        <v>8</v>
      </c>
      <c r="G41" s="71">
        <f t="shared" si="3"/>
        <v>16</v>
      </c>
      <c r="H41" s="71">
        <f t="shared" si="3"/>
        <v>32</v>
      </c>
      <c r="I41" s="72">
        <f t="shared" si="3"/>
        <v>64</v>
      </c>
      <c r="J41" s="71">
        <f t="shared" si="3"/>
        <v>128</v>
      </c>
      <c r="K41" s="73">
        <f t="shared" si="3"/>
        <v>256</v>
      </c>
      <c r="L41" s="74">
        <f t="shared" si="3"/>
        <v>512</v>
      </c>
      <c r="M41" s="76">
        <f>SUM(C41:L41)</f>
        <v>1022</v>
      </c>
      <c r="S41" s="69"/>
      <c r="T41" s="69"/>
      <c r="U41" s="69"/>
      <c r="V41" s="69"/>
      <c r="W41" s="69"/>
      <c r="X41" s="69"/>
      <c r="Y41" s="69"/>
      <c r="Z41" s="69"/>
      <c r="AA41" s="69"/>
      <c r="AB41" s="69"/>
    </row>
    <row r="42" spans="2:28" ht="20" customHeight="1">
      <c r="B42" s="70" t="s">
        <v>38</v>
      </c>
      <c r="C42" s="71">
        <f t="shared" si="3"/>
        <v>0</v>
      </c>
      <c r="D42" s="71">
        <f t="shared" si="3"/>
        <v>0</v>
      </c>
      <c r="E42" s="71">
        <f t="shared" si="3"/>
        <v>4</v>
      </c>
      <c r="F42" s="71">
        <f t="shared" si="3"/>
        <v>8</v>
      </c>
      <c r="G42" s="71">
        <f t="shared" si="3"/>
        <v>16</v>
      </c>
      <c r="H42" s="71">
        <f t="shared" si="3"/>
        <v>32</v>
      </c>
      <c r="I42" s="72">
        <f t="shared" si="3"/>
        <v>64</v>
      </c>
      <c r="J42" s="71">
        <f t="shared" si="3"/>
        <v>128</v>
      </c>
      <c r="K42" s="73">
        <f t="shared" si="3"/>
        <v>256</v>
      </c>
      <c r="L42" s="74">
        <f t="shared" si="3"/>
        <v>512</v>
      </c>
      <c r="M42" s="75">
        <f>SUM(C42:L42)</f>
        <v>1020</v>
      </c>
      <c r="S42" s="54"/>
      <c r="T42" s="54"/>
      <c r="U42" s="54"/>
      <c r="V42" s="54"/>
      <c r="W42" s="54"/>
      <c r="X42" s="54"/>
      <c r="Y42" s="54"/>
      <c r="Z42" s="54"/>
      <c r="AA42" s="54"/>
      <c r="AB42" s="54"/>
    </row>
    <row r="43" spans="2:28" ht="20" customHeight="1">
      <c r="B43" s="70" t="s">
        <v>39</v>
      </c>
      <c r="C43" s="71">
        <f t="shared" si="3"/>
        <v>0</v>
      </c>
      <c r="D43" s="71">
        <f t="shared" si="3"/>
        <v>0</v>
      </c>
      <c r="E43" s="71">
        <f t="shared" si="3"/>
        <v>4</v>
      </c>
      <c r="F43" s="71">
        <f t="shared" si="3"/>
        <v>8</v>
      </c>
      <c r="G43" s="71">
        <f t="shared" si="3"/>
        <v>16</v>
      </c>
      <c r="H43" s="71">
        <f t="shared" si="3"/>
        <v>32</v>
      </c>
      <c r="I43" s="72">
        <f t="shared" si="3"/>
        <v>64</v>
      </c>
      <c r="J43" s="71">
        <f t="shared" si="3"/>
        <v>128</v>
      </c>
      <c r="K43" s="73">
        <f t="shared" si="3"/>
        <v>256</v>
      </c>
      <c r="L43" s="74">
        <f t="shared" si="3"/>
        <v>512</v>
      </c>
      <c r="M43" s="76">
        <f>SUM(C43:L43)</f>
        <v>1020</v>
      </c>
      <c r="S43" s="77"/>
      <c r="T43" s="77"/>
      <c r="U43" s="77"/>
      <c r="V43" s="77"/>
      <c r="W43" s="77"/>
      <c r="X43" s="77"/>
      <c r="Y43" s="77"/>
      <c r="Z43" s="77"/>
      <c r="AA43" s="77"/>
      <c r="AB43" s="77"/>
    </row>
    <row r="44" spans="2:28" ht="20" customHeight="1" thickBot="1">
      <c r="B44" s="78" t="s">
        <v>40</v>
      </c>
      <c r="C44" s="79">
        <f t="shared" si="3"/>
        <v>0</v>
      </c>
      <c r="D44" s="79">
        <f t="shared" si="3"/>
        <v>0</v>
      </c>
      <c r="E44" s="79">
        <f t="shared" si="3"/>
        <v>4</v>
      </c>
      <c r="F44" s="79">
        <f t="shared" si="3"/>
        <v>8</v>
      </c>
      <c r="G44" s="79">
        <f t="shared" si="3"/>
        <v>16</v>
      </c>
      <c r="H44" s="79">
        <f t="shared" si="3"/>
        <v>32</v>
      </c>
      <c r="I44" s="79">
        <f t="shared" si="3"/>
        <v>64</v>
      </c>
      <c r="J44" s="79">
        <f t="shared" si="3"/>
        <v>128</v>
      </c>
      <c r="K44" s="79">
        <f t="shared" si="3"/>
        <v>256</v>
      </c>
      <c r="L44" s="80">
        <f t="shared" si="3"/>
        <v>512</v>
      </c>
      <c r="M44" s="81">
        <f>SUM(C44:L44)</f>
        <v>1020</v>
      </c>
      <c r="S44" s="77"/>
      <c r="T44" s="77"/>
      <c r="U44" s="77"/>
      <c r="V44" s="77"/>
      <c r="W44" s="77"/>
      <c r="X44" s="77"/>
      <c r="Y44" s="77"/>
      <c r="Z44" s="77"/>
      <c r="AA44" s="77"/>
      <c r="AB44" s="77"/>
    </row>
    <row r="45" spans="2:28" s="87" customFormat="1" ht="30" customHeight="1" thickTop="1">
      <c r="B45" s="82" t="s">
        <v>41</v>
      </c>
      <c r="C45" s="83">
        <f t="shared" ref="C45:M45" si="4">SUM(C37:C44)</f>
        <v>3</v>
      </c>
      <c r="D45" s="83">
        <f t="shared" si="4"/>
        <v>10</v>
      </c>
      <c r="E45" s="83">
        <f t="shared" si="4"/>
        <v>32</v>
      </c>
      <c r="F45" s="83">
        <f t="shared" si="4"/>
        <v>64</v>
      </c>
      <c r="G45" s="83">
        <f t="shared" si="4"/>
        <v>128</v>
      </c>
      <c r="H45" s="83">
        <f t="shared" si="4"/>
        <v>256</v>
      </c>
      <c r="I45" s="83">
        <f t="shared" si="4"/>
        <v>512</v>
      </c>
      <c r="J45" s="83">
        <f t="shared" si="4"/>
        <v>1024</v>
      </c>
      <c r="K45" s="83">
        <f t="shared" si="4"/>
        <v>2048</v>
      </c>
      <c r="L45" s="84">
        <f t="shared" si="4"/>
        <v>4096</v>
      </c>
      <c r="M45" s="83" t="e">
        <f t="shared" si="4"/>
        <v>#NAME?</v>
      </c>
      <c r="N45" s="85"/>
      <c r="O45" s="85"/>
      <c r="P45" s="85"/>
      <c r="Q45" s="85"/>
      <c r="R45" s="85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8" spans="2:28" ht="30" customHeight="1">
      <c r="B48" s="9" t="s">
        <v>48</v>
      </c>
    </row>
    <row r="50" spans="1:10" ht="34" customHeight="1">
      <c r="B50" s="47" t="s">
        <v>6</v>
      </c>
      <c r="C50" s="48" t="s">
        <v>49</v>
      </c>
      <c r="D50" s="48" t="s">
        <v>50</v>
      </c>
      <c r="E50" s="48" t="s">
        <v>51</v>
      </c>
      <c r="F50" s="48" t="s">
        <v>52</v>
      </c>
      <c r="G50" s="48" t="s">
        <v>53</v>
      </c>
      <c r="H50" s="48" t="s">
        <v>54</v>
      </c>
      <c r="I50" s="48" t="s">
        <v>55</v>
      </c>
      <c r="J50" s="88"/>
    </row>
    <row r="51" spans="1:10" ht="20" customHeight="1">
      <c r="A51" s="43"/>
      <c r="B51" s="89" t="s">
        <v>33</v>
      </c>
      <c r="C51" s="90" t="str">
        <f>[1]Variables!G7</f>
        <v>Yes</v>
      </c>
      <c r="D51" s="90" t="str">
        <f>[1]Variables!H7</f>
        <v>Yes</v>
      </c>
      <c r="E51" s="90" t="str">
        <f>[1]Variables!I7</f>
        <v>Yes</v>
      </c>
      <c r="F51" s="90" t="str">
        <f>[1]Variables!J7</f>
        <v>No</v>
      </c>
      <c r="G51" s="90" t="str">
        <f>[1]Variables!K7</f>
        <v>Yes</v>
      </c>
      <c r="H51" s="90" t="str">
        <f>[1]Variables!L7</f>
        <v>No</v>
      </c>
      <c r="I51" s="91">
        <f t="shared" ref="I51:I58" si="5">IF(C51="Yes",$C$60,0)+IF(D51="Yes",$D$60,0)+IF(E51="Yes",$E$60)+IF(F51="Yes",$F$60,0)+IF(G51="Yes",$G$60,0)+IF(H51="Yes",$H$60,0)</f>
        <v>4</v>
      </c>
    </row>
    <row r="52" spans="1:10" ht="20" customHeight="1">
      <c r="A52" s="43"/>
      <c r="B52" s="70" t="s">
        <v>34</v>
      </c>
      <c r="C52" s="71" t="str">
        <f>[1]Variables!G8</f>
        <v>Yes</v>
      </c>
      <c r="D52" s="71" t="str">
        <f>[1]Variables!H8</f>
        <v>Yes</v>
      </c>
      <c r="E52" s="71" t="str">
        <f>[1]Variables!I8</f>
        <v>No</v>
      </c>
      <c r="F52" s="71" t="str">
        <f>[1]Variables!J8</f>
        <v>Yes</v>
      </c>
      <c r="G52" s="71" t="str">
        <f>[1]Variables!K8</f>
        <v>Yes</v>
      </c>
      <c r="H52" s="71" t="str">
        <f>[1]Variables!L8</f>
        <v>No</v>
      </c>
      <c r="I52" s="92">
        <f t="shared" si="5"/>
        <v>4</v>
      </c>
    </row>
    <row r="53" spans="1:10" ht="20" customHeight="1">
      <c r="A53" s="43"/>
      <c r="B53" s="93" t="s">
        <v>35</v>
      </c>
      <c r="C53" s="94" t="str">
        <f>[1]Variables!G9</f>
        <v>Yes</v>
      </c>
      <c r="D53" s="94" t="str">
        <f>[1]Variables!H9</f>
        <v>No</v>
      </c>
      <c r="E53" s="94" t="str">
        <f>[1]Variables!I9</f>
        <v>Yes</v>
      </c>
      <c r="F53" s="94" t="str">
        <f>[1]Variables!J9</f>
        <v>No</v>
      </c>
      <c r="G53" s="94" t="str">
        <f>[1]Variables!K9</f>
        <v>Yes</v>
      </c>
      <c r="H53" s="94" t="str">
        <f>[1]Variables!L9</f>
        <v>No</v>
      </c>
      <c r="I53" s="95">
        <f t="shared" si="5"/>
        <v>3</v>
      </c>
    </row>
    <row r="54" spans="1:10" ht="20" customHeight="1">
      <c r="A54" s="43"/>
      <c r="B54" s="70" t="s">
        <v>36</v>
      </c>
      <c r="C54" s="71" t="str">
        <f>[1]Variables!G10</f>
        <v>Yes</v>
      </c>
      <c r="D54" s="71" t="str">
        <f>[1]Variables!H10</f>
        <v>No</v>
      </c>
      <c r="E54" s="71" t="str">
        <f>[1]Variables!I10</f>
        <v>No</v>
      </c>
      <c r="F54" s="71" t="str">
        <f>[1]Variables!J10</f>
        <v>Yes</v>
      </c>
      <c r="G54" s="71" t="str">
        <f>[1]Variables!K10</f>
        <v>No</v>
      </c>
      <c r="H54" s="71" t="str">
        <f>[1]Variables!L10</f>
        <v>Yes</v>
      </c>
      <c r="I54" s="92">
        <f t="shared" si="5"/>
        <v>3</v>
      </c>
    </row>
    <row r="55" spans="1:10" ht="20" customHeight="1">
      <c r="A55" s="43"/>
      <c r="B55" s="93" t="s">
        <v>37</v>
      </c>
      <c r="C55" s="94" t="str">
        <f>[1]Variables!G11</f>
        <v>Yes</v>
      </c>
      <c r="D55" s="94" t="str">
        <f>[1]Variables!H11</f>
        <v>Yes</v>
      </c>
      <c r="E55" s="94" t="str">
        <f>[1]Variables!I11</f>
        <v>Yes</v>
      </c>
      <c r="F55" s="94" t="str">
        <f>[1]Variables!J11</f>
        <v>No</v>
      </c>
      <c r="G55" s="94" t="str">
        <f>[1]Variables!K11</f>
        <v>Yes</v>
      </c>
      <c r="H55" s="94" t="str">
        <f>[1]Variables!L11</f>
        <v>No</v>
      </c>
      <c r="I55" s="95">
        <f t="shared" si="5"/>
        <v>4</v>
      </c>
    </row>
    <row r="56" spans="1:10" ht="20" customHeight="1">
      <c r="A56" s="43"/>
      <c r="B56" s="70" t="s">
        <v>38</v>
      </c>
      <c r="C56" s="71" t="str">
        <f>[1]Variables!G12</f>
        <v>Yes</v>
      </c>
      <c r="D56" s="71" t="str">
        <f>[1]Variables!H12</f>
        <v>Yes</v>
      </c>
      <c r="E56" s="71" t="str">
        <f>[1]Variables!I12</f>
        <v>Yes</v>
      </c>
      <c r="F56" s="71" t="str">
        <f>[1]Variables!J12</f>
        <v>No</v>
      </c>
      <c r="G56" s="71" t="str">
        <f>[1]Variables!K12</f>
        <v>Yes</v>
      </c>
      <c r="H56" s="71" t="str">
        <f>[1]Variables!L12</f>
        <v>No</v>
      </c>
      <c r="I56" s="92">
        <f t="shared" si="5"/>
        <v>4</v>
      </c>
    </row>
    <row r="57" spans="1:10" ht="20" customHeight="1">
      <c r="A57" s="43"/>
      <c r="B57" s="93" t="s">
        <v>39</v>
      </c>
      <c r="C57" s="94" t="str">
        <f>[1]Variables!G13</f>
        <v>Yes</v>
      </c>
      <c r="D57" s="94" t="str">
        <f>[1]Variables!H13</f>
        <v>Yes</v>
      </c>
      <c r="E57" s="94" t="str">
        <f>[1]Variables!I13</f>
        <v>Yes</v>
      </c>
      <c r="F57" s="94" t="str">
        <f>[1]Variables!J13</f>
        <v>No</v>
      </c>
      <c r="G57" s="94" t="str">
        <f>[1]Variables!K13</f>
        <v>Yes</v>
      </c>
      <c r="H57" s="94" t="str">
        <f>[1]Variables!L13</f>
        <v>No</v>
      </c>
      <c r="I57" s="95">
        <f t="shared" si="5"/>
        <v>4</v>
      </c>
    </row>
    <row r="58" spans="1:10" ht="20" customHeight="1" thickBot="1">
      <c r="A58" s="43"/>
      <c r="B58" s="78" t="s">
        <v>40</v>
      </c>
      <c r="C58" s="79" t="str">
        <f>[1]Variables!G14</f>
        <v>Yes</v>
      </c>
      <c r="D58" s="79" t="str">
        <f>[1]Variables!H14</f>
        <v>Yes</v>
      </c>
      <c r="E58" s="79" t="str">
        <f>[1]Variables!I14</f>
        <v>No</v>
      </c>
      <c r="F58" s="79" t="str">
        <f>[1]Variables!J14</f>
        <v>Yes</v>
      </c>
      <c r="G58" s="79" t="str">
        <f>[1]Variables!K14</f>
        <v>Yes</v>
      </c>
      <c r="H58" s="79" t="str">
        <f>[1]Variables!L14</f>
        <v>No</v>
      </c>
      <c r="I58" s="96">
        <f t="shared" si="5"/>
        <v>4</v>
      </c>
    </row>
    <row r="59" spans="1:10" ht="17" customHeight="1" thickTop="1"/>
    <row r="60" spans="1:10" ht="20" customHeight="1">
      <c r="A60" s="43"/>
      <c r="B60" s="44" t="s">
        <v>56</v>
      </c>
      <c r="C60" s="97">
        <v>1</v>
      </c>
      <c r="D60" s="97">
        <v>1</v>
      </c>
      <c r="E60" s="98">
        <v>1</v>
      </c>
      <c r="F60" s="98">
        <v>1</v>
      </c>
      <c r="G60" s="98">
        <v>1</v>
      </c>
      <c r="H60" s="98">
        <v>1</v>
      </c>
    </row>
    <row r="61" spans="1:10">
      <c r="C61" s="99"/>
      <c r="D61" s="99"/>
      <c r="E61" s="100"/>
      <c r="F61" s="100"/>
      <c r="G61" s="100"/>
      <c r="H61" s="100"/>
    </row>
    <row r="62" spans="1:10" ht="30" customHeight="1">
      <c r="B62" s="9" t="s">
        <v>57</v>
      </c>
      <c r="C62" s="99"/>
      <c r="D62" s="99"/>
      <c r="E62" s="100"/>
      <c r="F62" s="100"/>
      <c r="G62" s="100"/>
      <c r="H62" s="100"/>
    </row>
    <row r="63" spans="1:10">
      <c r="C63" s="99"/>
      <c r="D63" s="99"/>
      <c r="E63" s="100"/>
      <c r="F63" s="100"/>
      <c r="G63" s="100"/>
      <c r="H63" s="100"/>
    </row>
    <row r="64" spans="1:10" ht="34" customHeight="1">
      <c r="B64" s="47" t="s">
        <v>6</v>
      </c>
      <c r="C64" s="48" t="s">
        <v>49</v>
      </c>
      <c r="D64" s="48" t="s">
        <v>50</v>
      </c>
      <c r="E64" s="48" t="s">
        <v>51</v>
      </c>
      <c r="F64" s="48" t="s">
        <v>52</v>
      </c>
      <c r="G64" s="48" t="s">
        <v>53</v>
      </c>
      <c r="H64" s="48" t="s">
        <v>54</v>
      </c>
      <c r="I64" s="48" t="s">
        <v>41</v>
      </c>
    </row>
    <row r="65" spans="2:13" ht="20" customHeight="1">
      <c r="B65" s="89" t="s">
        <v>33</v>
      </c>
      <c r="C65" s="101">
        <f t="shared" ref="C65:H72" si="6">IF(C51="Yes",C$60/$I51,0)</f>
        <v>0.25</v>
      </c>
      <c r="D65" s="101">
        <f t="shared" si="6"/>
        <v>0.25</v>
      </c>
      <c r="E65" s="101">
        <f t="shared" si="6"/>
        <v>0.25</v>
      </c>
      <c r="F65" s="101">
        <f t="shared" si="6"/>
        <v>0</v>
      </c>
      <c r="G65" s="101">
        <f t="shared" si="6"/>
        <v>0.25</v>
      </c>
      <c r="H65" s="101">
        <f t="shared" si="6"/>
        <v>0</v>
      </c>
      <c r="I65" s="91">
        <f t="shared" ref="I65:I72" si="7">SUM(C65:H65)</f>
        <v>1</v>
      </c>
    </row>
    <row r="66" spans="2:13" ht="20" customHeight="1">
      <c r="B66" s="70" t="s">
        <v>34</v>
      </c>
      <c r="C66" s="102">
        <f t="shared" si="6"/>
        <v>0.25</v>
      </c>
      <c r="D66" s="102">
        <f t="shared" si="6"/>
        <v>0.25</v>
      </c>
      <c r="E66" s="102">
        <f t="shared" si="6"/>
        <v>0</v>
      </c>
      <c r="F66" s="102">
        <f t="shared" si="6"/>
        <v>0.25</v>
      </c>
      <c r="G66" s="102">
        <f t="shared" si="6"/>
        <v>0.25</v>
      </c>
      <c r="H66" s="102">
        <f t="shared" si="6"/>
        <v>0</v>
      </c>
      <c r="I66" s="92">
        <f t="shared" si="7"/>
        <v>1</v>
      </c>
    </row>
    <row r="67" spans="2:13" ht="20" customHeight="1">
      <c r="B67" s="93" t="s">
        <v>35</v>
      </c>
      <c r="C67" s="103">
        <f t="shared" si="6"/>
        <v>0.33333333333333331</v>
      </c>
      <c r="D67" s="103">
        <f t="shared" si="6"/>
        <v>0</v>
      </c>
      <c r="E67" s="103">
        <f t="shared" si="6"/>
        <v>0.33333333333333331</v>
      </c>
      <c r="F67" s="103">
        <f t="shared" si="6"/>
        <v>0</v>
      </c>
      <c r="G67" s="103">
        <f t="shared" si="6"/>
        <v>0.33333333333333331</v>
      </c>
      <c r="H67" s="103">
        <f t="shared" si="6"/>
        <v>0</v>
      </c>
      <c r="I67" s="95">
        <f t="shared" si="7"/>
        <v>1</v>
      </c>
    </row>
    <row r="68" spans="2:13" ht="20" customHeight="1">
      <c r="B68" s="70" t="s">
        <v>36</v>
      </c>
      <c r="C68" s="102">
        <f t="shared" si="6"/>
        <v>0.33333333333333331</v>
      </c>
      <c r="D68" s="102">
        <f t="shared" si="6"/>
        <v>0</v>
      </c>
      <c r="E68" s="102">
        <f t="shared" si="6"/>
        <v>0</v>
      </c>
      <c r="F68" s="102">
        <f t="shared" si="6"/>
        <v>0.33333333333333331</v>
      </c>
      <c r="G68" s="102">
        <f t="shared" si="6"/>
        <v>0</v>
      </c>
      <c r="H68" s="102">
        <f t="shared" si="6"/>
        <v>0.33333333333333331</v>
      </c>
      <c r="I68" s="92">
        <f t="shared" si="7"/>
        <v>1</v>
      </c>
    </row>
    <row r="69" spans="2:13" ht="20" customHeight="1">
      <c r="B69" s="93" t="s">
        <v>37</v>
      </c>
      <c r="C69" s="103">
        <f t="shared" si="6"/>
        <v>0.25</v>
      </c>
      <c r="D69" s="103">
        <f t="shared" si="6"/>
        <v>0.25</v>
      </c>
      <c r="E69" s="103">
        <f t="shared" si="6"/>
        <v>0.25</v>
      </c>
      <c r="F69" s="103">
        <f t="shared" si="6"/>
        <v>0</v>
      </c>
      <c r="G69" s="103">
        <f t="shared" si="6"/>
        <v>0.25</v>
      </c>
      <c r="H69" s="103">
        <f t="shared" si="6"/>
        <v>0</v>
      </c>
      <c r="I69" s="95">
        <f t="shared" si="7"/>
        <v>1</v>
      </c>
    </row>
    <row r="70" spans="2:13" ht="20" customHeight="1">
      <c r="B70" s="70" t="s">
        <v>38</v>
      </c>
      <c r="C70" s="102">
        <f t="shared" si="6"/>
        <v>0.25</v>
      </c>
      <c r="D70" s="102">
        <f t="shared" si="6"/>
        <v>0.25</v>
      </c>
      <c r="E70" s="102">
        <f t="shared" si="6"/>
        <v>0.25</v>
      </c>
      <c r="F70" s="102">
        <f t="shared" si="6"/>
        <v>0</v>
      </c>
      <c r="G70" s="102">
        <f t="shared" si="6"/>
        <v>0.25</v>
      </c>
      <c r="H70" s="102">
        <f t="shared" si="6"/>
        <v>0</v>
      </c>
      <c r="I70" s="92">
        <f t="shared" si="7"/>
        <v>1</v>
      </c>
    </row>
    <row r="71" spans="2:13" ht="20" customHeight="1">
      <c r="B71" s="93" t="s">
        <v>39</v>
      </c>
      <c r="C71" s="103">
        <f t="shared" si="6"/>
        <v>0.25</v>
      </c>
      <c r="D71" s="103">
        <f t="shared" si="6"/>
        <v>0.25</v>
      </c>
      <c r="E71" s="103">
        <f t="shared" si="6"/>
        <v>0.25</v>
      </c>
      <c r="F71" s="103">
        <f t="shared" si="6"/>
        <v>0</v>
      </c>
      <c r="G71" s="103">
        <f t="shared" si="6"/>
        <v>0.25</v>
      </c>
      <c r="H71" s="103">
        <f t="shared" si="6"/>
        <v>0</v>
      </c>
      <c r="I71" s="95">
        <f t="shared" si="7"/>
        <v>1</v>
      </c>
    </row>
    <row r="72" spans="2:13" ht="20" customHeight="1" thickBot="1">
      <c r="B72" s="78" t="s">
        <v>40</v>
      </c>
      <c r="C72" s="96">
        <f t="shared" si="6"/>
        <v>0.25</v>
      </c>
      <c r="D72" s="96">
        <f t="shared" si="6"/>
        <v>0.25</v>
      </c>
      <c r="E72" s="96">
        <f t="shared" si="6"/>
        <v>0</v>
      </c>
      <c r="F72" s="96">
        <f t="shared" si="6"/>
        <v>0.25</v>
      </c>
      <c r="G72" s="96">
        <f t="shared" si="6"/>
        <v>0.25</v>
      </c>
      <c r="H72" s="96">
        <f t="shared" si="6"/>
        <v>0</v>
      </c>
      <c r="I72" s="96">
        <f t="shared" si="7"/>
        <v>1</v>
      </c>
    </row>
    <row r="73" spans="2:13" ht="17" customHeight="1" thickTop="1">
      <c r="C73" s="99"/>
      <c r="D73" s="99"/>
      <c r="E73" s="100"/>
      <c r="F73" s="100"/>
      <c r="G73" s="100"/>
      <c r="H73" s="100"/>
    </row>
    <row r="75" spans="2:13" ht="30" customHeight="1">
      <c r="B75" s="9" t="s">
        <v>58</v>
      </c>
    </row>
    <row r="77" spans="2:13" ht="30" customHeight="1">
      <c r="B77" s="47" t="s">
        <v>6</v>
      </c>
      <c r="C77" s="48" t="s">
        <v>13</v>
      </c>
      <c r="D77" s="48" t="s">
        <v>14</v>
      </c>
      <c r="E77" s="48" t="s">
        <v>15</v>
      </c>
      <c r="F77" s="48" t="s">
        <v>16</v>
      </c>
      <c r="G77" s="48" t="s">
        <v>17</v>
      </c>
      <c r="H77" s="48" t="s">
        <v>18</v>
      </c>
      <c r="I77" s="48" t="s">
        <v>19</v>
      </c>
      <c r="J77" s="48" t="s">
        <v>20</v>
      </c>
      <c r="K77" s="48" t="s">
        <v>21</v>
      </c>
      <c r="L77" s="19" t="s">
        <v>22</v>
      </c>
      <c r="M77" s="48" t="s">
        <v>41</v>
      </c>
    </row>
    <row r="78" spans="2:13" ht="20" customHeight="1">
      <c r="B78" s="89" t="s">
        <v>33</v>
      </c>
      <c r="C78" s="90">
        <f t="shared" ref="C78:L78" si="8">C37*$C65</f>
        <v>0.25</v>
      </c>
      <c r="D78" s="90">
        <f t="shared" si="8"/>
        <v>0.5</v>
      </c>
      <c r="E78" s="90">
        <f t="shared" si="8"/>
        <v>1</v>
      </c>
      <c r="F78" s="90">
        <f t="shared" si="8"/>
        <v>2</v>
      </c>
      <c r="G78" s="90">
        <f t="shared" si="8"/>
        <v>4</v>
      </c>
      <c r="H78" s="90">
        <f t="shared" si="8"/>
        <v>8</v>
      </c>
      <c r="I78" s="104">
        <f t="shared" si="8"/>
        <v>16</v>
      </c>
      <c r="J78" s="90">
        <f t="shared" si="8"/>
        <v>32</v>
      </c>
      <c r="K78" s="105">
        <f t="shared" si="8"/>
        <v>64</v>
      </c>
      <c r="L78" s="106">
        <f t="shared" si="8"/>
        <v>128</v>
      </c>
      <c r="M78" s="107">
        <f t="shared" ref="M78:M85" si="9">SUM(C78:L78)</f>
        <v>255.75</v>
      </c>
    </row>
    <row r="79" spans="2:13" ht="20" customHeight="1">
      <c r="B79" s="70" t="s">
        <v>34</v>
      </c>
      <c r="C79" s="71">
        <f t="shared" ref="C79:L79" si="10">C38*$C66</f>
        <v>0.25</v>
      </c>
      <c r="D79" s="71">
        <f t="shared" si="10"/>
        <v>0.5</v>
      </c>
      <c r="E79" s="71">
        <f t="shared" si="10"/>
        <v>1</v>
      </c>
      <c r="F79" s="71">
        <f t="shared" si="10"/>
        <v>2</v>
      </c>
      <c r="G79" s="71">
        <f t="shared" si="10"/>
        <v>4</v>
      </c>
      <c r="H79" s="71">
        <f t="shared" si="10"/>
        <v>8</v>
      </c>
      <c r="I79" s="72">
        <f t="shared" si="10"/>
        <v>16</v>
      </c>
      <c r="J79" s="71">
        <f t="shared" si="10"/>
        <v>32</v>
      </c>
      <c r="K79" s="73">
        <f t="shared" si="10"/>
        <v>64</v>
      </c>
      <c r="L79" s="74">
        <f t="shared" si="10"/>
        <v>128</v>
      </c>
      <c r="M79" s="108">
        <f t="shared" si="9"/>
        <v>255.75</v>
      </c>
    </row>
    <row r="80" spans="2:13" ht="20" customHeight="1">
      <c r="B80" s="93" t="s">
        <v>35</v>
      </c>
      <c r="C80" s="94">
        <f t="shared" ref="C80:L80" si="11">C39*$C67</f>
        <v>0.33333333333333331</v>
      </c>
      <c r="D80" s="94">
        <f t="shared" si="11"/>
        <v>0.66666666666666663</v>
      </c>
      <c r="E80" s="94">
        <f t="shared" si="11"/>
        <v>1.3333333333333333</v>
      </c>
      <c r="F80" s="94">
        <f t="shared" si="11"/>
        <v>2.6666666666666665</v>
      </c>
      <c r="G80" s="94">
        <f t="shared" si="11"/>
        <v>5.333333333333333</v>
      </c>
      <c r="H80" s="94">
        <f t="shared" si="11"/>
        <v>10.666666666666666</v>
      </c>
      <c r="I80" s="109">
        <f t="shared" si="11"/>
        <v>21.333333333333332</v>
      </c>
      <c r="J80" s="94">
        <f t="shared" si="11"/>
        <v>42.666666666666664</v>
      </c>
      <c r="K80" s="110">
        <f t="shared" si="11"/>
        <v>85.333333333333329</v>
      </c>
      <c r="L80" s="111">
        <f t="shared" si="11"/>
        <v>170.66666666666666</v>
      </c>
      <c r="M80" s="112">
        <f t="shared" si="9"/>
        <v>341</v>
      </c>
    </row>
    <row r="81" spans="2:13" ht="20" customHeight="1">
      <c r="B81" s="70" t="s">
        <v>36</v>
      </c>
      <c r="C81" s="71">
        <f t="shared" ref="C81:L81" si="12">C40*$C68</f>
        <v>0</v>
      </c>
      <c r="D81" s="71">
        <f t="shared" si="12"/>
        <v>0.66666666666666663</v>
      </c>
      <c r="E81" s="71">
        <f t="shared" si="12"/>
        <v>1.3333333333333333</v>
      </c>
      <c r="F81" s="71">
        <f t="shared" si="12"/>
        <v>2.6666666666666665</v>
      </c>
      <c r="G81" s="71">
        <f t="shared" si="12"/>
        <v>5.333333333333333</v>
      </c>
      <c r="H81" s="71">
        <f t="shared" si="12"/>
        <v>10.666666666666666</v>
      </c>
      <c r="I81" s="72">
        <f t="shared" si="12"/>
        <v>21.333333333333332</v>
      </c>
      <c r="J81" s="71">
        <f t="shared" si="12"/>
        <v>42.666666666666664</v>
      </c>
      <c r="K81" s="73">
        <f t="shared" si="12"/>
        <v>85.333333333333329</v>
      </c>
      <c r="L81" s="74">
        <f t="shared" si="12"/>
        <v>170.66666666666666</v>
      </c>
      <c r="M81" s="108">
        <f t="shared" si="9"/>
        <v>340.66666666666663</v>
      </c>
    </row>
    <row r="82" spans="2:13" ht="20" customHeight="1">
      <c r="B82" s="93" t="s">
        <v>37</v>
      </c>
      <c r="C82" s="94">
        <f t="shared" ref="C82:L82" si="13">C41*$C69</f>
        <v>0</v>
      </c>
      <c r="D82" s="94">
        <f t="shared" si="13"/>
        <v>0.5</v>
      </c>
      <c r="E82" s="94">
        <f t="shared" si="13"/>
        <v>1</v>
      </c>
      <c r="F82" s="94">
        <f t="shared" si="13"/>
        <v>2</v>
      </c>
      <c r="G82" s="94">
        <f t="shared" si="13"/>
        <v>4</v>
      </c>
      <c r="H82" s="94">
        <f t="shared" si="13"/>
        <v>8</v>
      </c>
      <c r="I82" s="109">
        <f t="shared" si="13"/>
        <v>16</v>
      </c>
      <c r="J82" s="94">
        <f t="shared" si="13"/>
        <v>32</v>
      </c>
      <c r="K82" s="110">
        <f t="shared" si="13"/>
        <v>64</v>
      </c>
      <c r="L82" s="111">
        <f t="shared" si="13"/>
        <v>128</v>
      </c>
      <c r="M82" s="112">
        <f t="shared" si="9"/>
        <v>255.5</v>
      </c>
    </row>
    <row r="83" spans="2:13" ht="20" customHeight="1">
      <c r="B83" s="70" t="s">
        <v>38</v>
      </c>
      <c r="C83" s="71">
        <f t="shared" ref="C83:L83" si="14">C42*$C70</f>
        <v>0</v>
      </c>
      <c r="D83" s="71">
        <f t="shared" si="14"/>
        <v>0</v>
      </c>
      <c r="E83" s="71">
        <f t="shared" si="14"/>
        <v>1</v>
      </c>
      <c r="F83" s="71">
        <f t="shared" si="14"/>
        <v>2</v>
      </c>
      <c r="G83" s="71">
        <f t="shared" si="14"/>
        <v>4</v>
      </c>
      <c r="H83" s="71">
        <f t="shared" si="14"/>
        <v>8</v>
      </c>
      <c r="I83" s="72">
        <f t="shared" si="14"/>
        <v>16</v>
      </c>
      <c r="J83" s="71">
        <f t="shared" si="14"/>
        <v>32</v>
      </c>
      <c r="K83" s="73">
        <f t="shared" si="14"/>
        <v>64</v>
      </c>
      <c r="L83" s="74">
        <f t="shared" si="14"/>
        <v>128</v>
      </c>
      <c r="M83" s="108">
        <f t="shared" si="9"/>
        <v>255</v>
      </c>
    </row>
    <row r="84" spans="2:13" ht="20" customHeight="1">
      <c r="B84" s="93" t="s">
        <v>39</v>
      </c>
      <c r="C84" s="94">
        <f t="shared" ref="C84:L84" si="15">C43*$C71</f>
        <v>0</v>
      </c>
      <c r="D84" s="94">
        <f t="shared" si="15"/>
        <v>0</v>
      </c>
      <c r="E84" s="94">
        <f t="shared" si="15"/>
        <v>1</v>
      </c>
      <c r="F84" s="94">
        <f t="shared" si="15"/>
        <v>2</v>
      </c>
      <c r="G84" s="94">
        <f t="shared" si="15"/>
        <v>4</v>
      </c>
      <c r="H84" s="94">
        <f t="shared" si="15"/>
        <v>8</v>
      </c>
      <c r="I84" s="109">
        <f t="shared" si="15"/>
        <v>16</v>
      </c>
      <c r="J84" s="94">
        <f t="shared" si="15"/>
        <v>32</v>
      </c>
      <c r="K84" s="110">
        <f t="shared" si="15"/>
        <v>64</v>
      </c>
      <c r="L84" s="111">
        <f t="shared" si="15"/>
        <v>128</v>
      </c>
      <c r="M84" s="112">
        <f t="shared" si="9"/>
        <v>255</v>
      </c>
    </row>
    <row r="85" spans="2:13" ht="20" customHeight="1" thickBot="1">
      <c r="B85" s="78" t="s">
        <v>40</v>
      </c>
      <c r="C85" s="79">
        <f t="shared" ref="C85:L85" si="16">C44*$C72</f>
        <v>0</v>
      </c>
      <c r="D85" s="79">
        <f t="shared" si="16"/>
        <v>0</v>
      </c>
      <c r="E85" s="79">
        <f t="shared" si="16"/>
        <v>1</v>
      </c>
      <c r="F85" s="79">
        <f t="shared" si="16"/>
        <v>2</v>
      </c>
      <c r="G85" s="79">
        <f t="shared" si="16"/>
        <v>4</v>
      </c>
      <c r="H85" s="79">
        <f t="shared" si="16"/>
        <v>8</v>
      </c>
      <c r="I85" s="79">
        <f t="shared" si="16"/>
        <v>16</v>
      </c>
      <c r="J85" s="79">
        <f t="shared" si="16"/>
        <v>32</v>
      </c>
      <c r="K85" s="79">
        <f t="shared" si="16"/>
        <v>64</v>
      </c>
      <c r="L85" s="80">
        <f t="shared" si="16"/>
        <v>128</v>
      </c>
      <c r="M85" s="113">
        <f t="shared" si="9"/>
        <v>255</v>
      </c>
    </row>
    <row r="86" spans="2:13" ht="30" customHeight="1" thickTop="1">
      <c r="B86" s="114" t="s">
        <v>41</v>
      </c>
      <c r="C86" s="83">
        <f t="shared" ref="C86:M86" si="17">SUM(C78:C85)</f>
        <v>0.83333333333333326</v>
      </c>
      <c r="D86" s="83">
        <f t="shared" si="17"/>
        <v>2.833333333333333</v>
      </c>
      <c r="E86" s="83">
        <f t="shared" si="17"/>
        <v>8.6666666666666661</v>
      </c>
      <c r="F86" s="83">
        <f t="shared" si="17"/>
        <v>17.333333333333332</v>
      </c>
      <c r="G86" s="83">
        <f t="shared" si="17"/>
        <v>34.666666666666664</v>
      </c>
      <c r="H86" s="83">
        <f t="shared" si="17"/>
        <v>69.333333333333329</v>
      </c>
      <c r="I86" s="83">
        <f t="shared" si="17"/>
        <v>138.66666666666666</v>
      </c>
      <c r="J86" s="83">
        <f t="shared" si="17"/>
        <v>277.33333333333331</v>
      </c>
      <c r="K86" s="83">
        <f t="shared" si="17"/>
        <v>554.66666666666663</v>
      </c>
      <c r="L86" s="84">
        <f t="shared" si="17"/>
        <v>1109.3333333333333</v>
      </c>
      <c r="M86" s="83">
        <f t="shared" si="17"/>
        <v>2213.6666666666665</v>
      </c>
    </row>
    <row r="88" spans="2:13" ht="19" customHeight="1">
      <c r="B88" s="9" t="s">
        <v>59</v>
      </c>
    </row>
    <row r="90" spans="2:13" ht="17" customHeight="1">
      <c r="B90" s="47" t="s">
        <v>6</v>
      </c>
      <c r="C90" s="48" t="s">
        <v>13</v>
      </c>
      <c r="D90" s="48" t="s">
        <v>14</v>
      </c>
      <c r="E90" s="48" t="s">
        <v>15</v>
      </c>
      <c r="F90" s="48" t="s">
        <v>16</v>
      </c>
      <c r="G90" s="48" t="s">
        <v>17</v>
      </c>
      <c r="H90" s="48" t="s">
        <v>18</v>
      </c>
      <c r="I90" s="48" t="s">
        <v>19</v>
      </c>
      <c r="J90" s="48" t="s">
        <v>20</v>
      </c>
      <c r="K90" s="48" t="s">
        <v>21</v>
      </c>
      <c r="L90" s="19" t="s">
        <v>22</v>
      </c>
      <c r="M90" s="48" t="s">
        <v>41</v>
      </c>
    </row>
    <row r="91" spans="2:13">
      <c r="B91" s="89" t="s">
        <v>33</v>
      </c>
      <c r="C91" s="90">
        <f t="shared" ref="C91:L91" si="18">C37*$D65</f>
        <v>0.25</v>
      </c>
      <c r="D91" s="90">
        <f t="shared" si="18"/>
        <v>0.5</v>
      </c>
      <c r="E91" s="90">
        <f t="shared" si="18"/>
        <v>1</v>
      </c>
      <c r="F91" s="90">
        <f t="shared" si="18"/>
        <v>2</v>
      </c>
      <c r="G91" s="90">
        <f t="shared" si="18"/>
        <v>4</v>
      </c>
      <c r="H91" s="90">
        <f t="shared" si="18"/>
        <v>8</v>
      </c>
      <c r="I91" s="104">
        <f t="shared" si="18"/>
        <v>16</v>
      </c>
      <c r="J91" s="90">
        <f t="shared" si="18"/>
        <v>32</v>
      </c>
      <c r="K91" s="105">
        <f t="shared" si="18"/>
        <v>64</v>
      </c>
      <c r="L91" s="106">
        <f t="shared" si="18"/>
        <v>128</v>
      </c>
      <c r="M91" s="107">
        <f t="shared" ref="M91:M98" si="19">SUM(C91:L91)</f>
        <v>255.75</v>
      </c>
    </row>
    <row r="92" spans="2:13">
      <c r="B92" s="70" t="s">
        <v>34</v>
      </c>
      <c r="C92" s="71">
        <f t="shared" ref="C92:L92" si="20">C38*$D66</f>
        <v>0.25</v>
      </c>
      <c r="D92" s="71">
        <f t="shared" si="20"/>
        <v>0.5</v>
      </c>
      <c r="E92" s="71">
        <f t="shared" si="20"/>
        <v>1</v>
      </c>
      <c r="F92" s="71">
        <f t="shared" si="20"/>
        <v>2</v>
      </c>
      <c r="G92" s="71">
        <f t="shared" si="20"/>
        <v>4</v>
      </c>
      <c r="H92" s="71">
        <f t="shared" si="20"/>
        <v>8</v>
      </c>
      <c r="I92" s="72">
        <f t="shared" si="20"/>
        <v>16</v>
      </c>
      <c r="J92" s="71">
        <f t="shared" si="20"/>
        <v>32</v>
      </c>
      <c r="K92" s="73">
        <f t="shared" si="20"/>
        <v>64</v>
      </c>
      <c r="L92" s="74">
        <f t="shared" si="20"/>
        <v>128</v>
      </c>
      <c r="M92" s="108">
        <f t="shared" si="19"/>
        <v>255.75</v>
      </c>
    </row>
    <row r="93" spans="2:13">
      <c r="B93" s="93" t="s">
        <v>35</v>
      </c>
      <c r="C93" s="94">
        <f t="shared" ref="C93:L93" si="21">C39*$D67</f>
        <v>0</v>
      </c>
      <c r="D93" s="94">
        <f t="shared" si="21"/>
        <v>0</v>
      </c>
      <c r="E93" s="94">
        <f t="shared" si="21"/>
        <v>0</v>
      </c>
      <c r="F93" s="94">
        <f t="shared" si="21"/>
        <v>0</v>
      </c>
      <c r="G93" s="94">
        <f t="shared" si="21"/>
        <v>0</v>
      </c>
      <c r="H93" s="94">
        <f t="shared" si="21"/>
        <v>0</v>
      </c>
      <c r="I93" s="109">
        <f t="shared" si="21"/>
        <v>0</v>
      </c>
      <c r="J93" s="94">
        <f t="shared" si="21"/>
        <v>0</v>
      </c>
      <c r="K93" s="110">
        <f t="shared" si="21"/>
        <v>0</v>
      </c>
      <c r="L93" s="111">
        <f t="shared" si="21"/>
        <v>0</v>
      </c>
      <c r="M93" s="112">
        <f t="shared" si="19"/>
        <v>0</v>
      </c>
    </row>
    <row r="94" spans="2:13">
      <c r="B94" s="70" t="s">
        <v>36</v>
      </c>
      <c r="C94" s="71">
        <f t="shared" ref="C94:L94" si="22">C40*$D68</f>
        <v>0</v>
      </c>
      <c r="D94" s="71">
        <f t="shared" si="22"/>
        <v>0</v>
      </c>
      <c r="E94" s="71">
        <f t="shared" si="22"/>
        <v>0</v>
      </c>
      <c r="F94" s="71">
        <f t="shared" si="22"/>
        <v>0</v>
      </c>
      <c r="G94" s="71">
        <f t="shared" si="22"/>
        <v>0</v>
      </c>
      <c r="H94" s="71">
        <f t="shared" si="22"/>
        <v>0</v>
      </c>
      <c r="I94" s="72">
        <f t="shared" si="22"/>
        <v>0</v>
      </c>
      <c r="J94" s="71">
        <f t="shared" si="22"/>
        <v>0</v>
      </c>
      <c r="K94" s="73">
        <f t="shared" si="22"/>
        <v>0</v>
      </c>
      <c r="L94" s="74">
        <f t="shared" si="22"/>
        <v>0</v>
      </c>
      <c r="M94" s="108">
        <f t="shared" si="19"/>
        <v>0</v>
      </c>
    </row>
    <row r="95" spans="2:13">
      <c r="B95" s="93" t="s">
        <v>37</v>
      </c>
      <c r="C95" s="94">
        <f t="shared" ref="C95:L95" si="23">C41*$D69</f>
        <v>0</v>
      </c>
      <c r="D95" s="94">
        <f t="shared" si="23"/>
        <v>0.5</v>
      </c>
      <c r="E95" s="94">
        <f t="shared" si="23"/>
        <v>1</v>
      </c>
      <c r="F95" s="94">
        <f t="shared" si="23"/>
        <v>2</v>
      </c>
      <c r="G95" s="94">
        <f t="shared" si="23"/>
        <v>4</v>
      </c>
      <c r="H95" s="94">
        <f t="shared" si="23"/>
        <v>8</v>
      </c>
      <c r="I95" s="109">
        <f t="shared" si="23"/>
        <v>16</v>
      </c>
      <c r="J95" s="94">
        <f t="shared" si="23"/>
        <v>32</v>
      </c>
      <c r="K95" s="110">
        <f t="shared" si="23"/>
        <v>64</v>
      </c>
      <c r="L95" s="111">
        <f t="shared" si="23"/>
        <v>128</v>
      </c>
      <c r="M95" s="112">
        <f t="shared" si="19"/>
        <v>255.5</v>
      </c>
    </row>
    <row r="96" spans="2:13">
      <c r="B96" s="70" t="s">
        <v>38</v>
      </c>
      <c r="C96" s="71">
        <f t="shared" ref="C96:L96" si="24">C42*$D70</f>
        <v>0</v>
      </c>
      <c r="D96" s="71">
        <f t="shared" si="24"/>
        <v>0</v>
      </c>
      <c r="E96" s="71">
        <f t="shared" si="24"/>
        <v>1</v>
      </c>
      <c r="F96" s="71">
        <f t="shared" si="24"/>
        <v>2</v>
      </c>
      <c r="G96" s="71">
        <f t="shared" si="24"/>
        <v>4</v>
      </c>
      <c r="H96" s="71">
        <f t="shared" si="24"/>
        <v>8</v>
      </c>
      <c r="I96" s="72">
        <f t="shared" si="24"/>
        <v>16</v>
      </c>
      <c r="J96" s="71">
        <f t="shared" si="24"/>
        <v>32</v>
      </c>
      <c r="K96" s="73">
        <f t="shared" si="24"/>
        <v>64</v>
      </c>
      <c r="L96" s="74">
        <f t="shared" si="24"/>
        <v>128</v>
      </c>
      <c r="M96" s="108">
        <f t="shared" si="19"/>
        <v>255</v>
      </c>
    </row>
    <row r="97" spans="2:13">
      <c r="B97" s="93" t="s">
        <v>39</v>
      </c>
      <c r="C97" s="94">
        <f t="shared" ref="C97:L97" si="25">C43*$D71</f>
        <v>0</v>
      </c>
      <c r="D97" s="94">
        <f t="shared" si="25"/>
        <v>0</v>
      </c>
      <c r="E97" s="94">
        <f t="shared" si="25"/>
        <v>1</v>
      </c>
      <c r="F97" s="94">
        <f t="shared" si="25"/>
        <v>2</v>
      </c>
      <c r="G97" s="94">
        <f t="shared" si="25"/>
        <v>4</v>
      </c>
      <c r="H97" s="94">
        <f t="shared" si="25"/>
        <v>8</v>
      </c>
      <c r="I97" s="109">
        <f t="shared" si="25"/>
        <v>16</v>
      </c>
      <c r="J97" s="94">
        <f t="shared" si="25"/>
        <v>32</v>
      </c>
      <c r="K97" s="110">
        <f t="shared" si="25"/>
        <v>64</v>
      </c>
      <c r="L97" s="111">
        <f t="shared" si="25"/>
        <v>128</v>
      </c>
      <c r="M97" s="112">
        <f t="shared" si="19"/>
        <v>255</v>
      </c>
    </row>
    <row r="98" spans="2:13" ht="17" customHeight="1" thickBot="1">
      <c r="B98" s="78" t="s">
        <v>40</v>
      </c>
      <c r="C98" s="79">
        <f t="shared" ref="C98:L98" si="26">C44*$D72</f>
        <v>0</v>
      </c>
      <c r="D98" s="79">
        <f t="shared" si="26"/>
        <v>0</v>
      </c>
      <c r="E98" s="79">
        <f t="shared" si="26"/>
        <v>1</v>
      </c>
      <c r="F98" s="79">
        <f t="shared" si="26"/>
        <v>2</v>
      </c>
      <c r="G98" s="79">
        <f t="shared" si="26"/>
        <v>4</v>
      </c>
      <c r="H98" s="79">
        <f t="shared" si="26"/>
        <v>8</v>
      </c>
      <c r="I98" s="79">
        <f t="shared" si="26"/>
        <v>16</v>
      </c>
      <c r="J98" s="79">
        <f t="shared" si="26"/>
        <v>32</v>
      </c>
      <c r="K98" s="79">
        <f t="shared" si="26"/>
        <v>64</v>
      </c>
      <c r="L98" s="80">
        <f t="shared" si="26"/>
        <v>128</v>
      </c>
      <c r="M98" s="113">
        <f t="shared" si="19"/>
        <v>255</v>
      </c>
    </row>
    <row r="99" spans="2:13" ht="30" customHeight="1" thickTop="1">
      <c r="B99" s="114" t="s">
        <v>41</v>
      </c>
      <c r="C99" s="83">
        <f t="shared" ref="C99:M99" si="27">SUM(C91:C98)</f>
        <v>0.5</v>
      </c>
      <c r="D99" s="83">
        <f t="shared" si="27"/>
        <v>1.5</v>
      </c>
      <c r="E99" s="83">
        <f t="shared" si="27"/>
        <v>6</v>
      </c>
      <c r="F99" s="83">
        <f t="shared" si="27"/>
        <v>12</v>
      </c>
      <c r="G99" s="83">
        <f t="shared" si="27"/>
        <v>24</v>
      </c>
      <c r="H99" s="83">
        <f t="shared" si="27"/>
        <v>48</v>
      </c>
      <c r="I99" s="83">
        <f t="shared" si="27"/>
        <v>96</v>
      </c>
      <c r="J99" s="83">
        <f t="shared" si="27"/>
        <v>192</v>
      </c>
      <c r="K99" s="83">
        <f t="shared" si="27"/>
        <v>384</v>
      </c>
      <c r="L99" s="84">
        <f t="shared" si="27"/>
        <v>768</v>
      </c>
      <c r="M99" s="83">
        <f t="shared" si="27"/>
        <v>1532</v>
      </c>
    </row>
    <row r="101" spans="2:13" ht="19" customHeight="1">
      <c r="B101" s="9" t="s">
        <v>60</v>
      </c>
    </row>
    <row r="102" spans="2:13">
      <c r="B102" s="88"/>
    </row>
    <row r="103" spans="2:13" ht="17" customHeight="1">
      <c r="B103" s="47" t="s">
        <v>6</v>
      </c>
      <c r="C103" s="48" t="s">
        <v>13</v>
      </c>
      <c r="D103" s="48" t="s">
        <v>14</v>
      </c>
      <c r="E103" s="48" t="s">
        <v>15</v>
      </c>
      <c r="F103" s="48" t="s">
        <v>16</v>
      </c>
      <c r="G103" s="48" t="s">
        <v>17</v>
      </c>
      <c r="H103" s="48" t="s">
        <v>18</v>
      </c>
      <c r="I103" s="48" t="s">
        <v>19</v>
      </c>
      <c r="J103" s="48" t="s">
        <v>20</v>
      </c>
      <c r="K103" s="48" t="s">
        <v>21</v>
      </c>
      <c r="L103" s="19" t="s">
        <v>22</v>
      </c>
      <c r="M103" s="48" t="s">
        <v>41</v>
      </c>
    </row>
    <row r="104" spans="2:13">
      <c r="B104" s="89" t="s">
        <v>33</v>
      </c>
      <c r="C104" s="90">
        <f t="shared" ref="C104:L104" si="28">C37*$E65</f>
        <v>0.25</v>
      </c>
      <c r="D104" s="90">
        <f t="shared" si="28"/>
        <v>0.5</v>
      </c>
      <c r="E104" s="90">
        <f t="shared" si="28"/>
        <v>1</v>
      </c>
      <c r="F104" s="90">
        <f t="shared" si="28"/>
        <v>2</v>
      </c>
      <c r="G104" s="90">
        <f t="shared" si="28"/>
        <v>4</v>
      </c>
      <c r="H104" s="90">
        <f t="shared" si="28"/>
        <v>8</v>
      </c>
      <c r="I104" s="104">
        <f t="shared" si="28"/>
        <v>16</v>
      </c>
      <c r="J104" s="90">
        <f t="shared" si="28"/>
        <v>32</v>
      </c>
      <c r="K104" s="105">
        <f t="shared" si="28"/>
        <v>64</v>
      </c>
      <c r="L104" s="106">
        <f t="shared" si="28"/>
        <v>128</v>
      </c>
      <c r="M104" s="107">
        <f t="shared" ref="M104:M111" si="29">SUM(C104:L104)</f>
        <v>255.75</v>
      </c>
    </row>
    <row r="105" spans="2:13">
      <c r="B105" s="70" t="s">
        <v>34</v>
      </c>
      <c r="C105" s="71">
        <f t="shared" ref="C105:L105" si="30">C38*$E66</f>
        <v>0</v>
      </c>
      <c r="D105" s="71">
        <f t="shared" si="30"/>
        <v>0</v>
      </c>
      <c r="E105" s="71">
        <f t="shared" si="30"/>
        <v>0</v>
      </c>
      <c r="F105" s="71">
        <f t="shared" si="30"/>
        <v>0</v>
      </c>
      <c r="G105" s="71">
        <f t="shared" si="30"/>
        <v>0</v>
      </c>
      <c r="H105" s="71">
        <f t="shared" si="30"/>
        <v>0</v>
      </c>
      <c r="I105" s="72">
        <f t="shared" si="30"/>
        <v>0</v>
      </c>
      <c r="J105" s="71">
        <f t="shared" si="30"/>
        <v>0</v>
      </c>
      <c r="K105" s="73">
        <f t="shared" si="30"/>
        <v>0</v>
      </c>
      <c r="L105" s="74">
        <f t="shared" si="30"/>
        <v>0</v>
      </c>
      <c r="M105" s="108">
        <f t="shared" si="29"/>
        <v>0</v>
      </c>
    </row>
    <row r="106" spans="2:13">
      <c r="B106" s="93" t="s">
        <v>35</v>
      </c>
      <c r="C106" s="94">
        <f t="shared" ref="C106:L106" si="31">C39*$E67</f>
        <v>0.33333333333333331</v>
      </c>
      <c r="D106" s="94">
        <f t="shared" si="31"/>
        <v>0.66666666666666663</v>
      </c>
      <c r="E106" s="94">
        <f t="shared" si="31"/>
        <v>1.3333333333333333</v>
      </c>
      <c r="F106" s="94">
        <f t="shared" si="31"/>
        <v>2.6666666666666665</v>
      </c>
      <c r="G106" s="94">
        <f t="shared" si="31"/>
        <v>5.333333333333333</v>
      </c>
      <c r="H106" s="94">
        <f t="shared" si="31"/>
        <v>10.666666666666666</v>
      </c>
      <c r="I106" s="109">
        <f t="shared" si="31"/>
        <v>21.333333333333332</v>
      </c>
      <c r="J106" s="94">
        <f t="shared" si="31"/>
        <v>42.666666666666664</v>
      </c>
      <c r="K106" s="110">
        <f t="shared" si="31"/>
        <v>85.333333333333329</v>
      </c>
      <c r="L106" s="111">
        <f t="shared" si="31"/>
        <v>170.66666666666666</v>
      </c>
      <c r="M106" s="112">
        <f t="shared" si="29"/>
        <v>341</v>
      </c>
    </row>
    <row r="107" spans="2:13">
      <c r="B107" s="70" t="s">
        <v>36</v>
      </c>
      <c r="C107" s="71">
        <f t="shared" ref="C107:L107" si="32">C40*$E68</f>
        <v>0</v>
      </c>
      <c r="D107" s="71">
        <f t="shared" si="32"/>
        <v>0</v>
      </c>
      <c r="E107" s="71">
        <f t="shared" si="32"/>
        <v>0</v>
      </c>
      <c r="F107" s="71">
        <f t="shared" si="32"/>
        <v>0</v>
      </c>
      <c r="G107" s="71">
        <f t="shared" si="32"/>
        <v>0</v>
      </c>
      <c r="H107" s="71">
        <f t="shared" si="32"/>
        <v>0</v>
      </c>
      <c r="I107" s="72">
        <f t="shared" si="32"/>
        <v>0</v>
      </c>
      <c r="J107" s="71">
        <f t="shared" si="32"/>
        <v>0</v>
      </c>
      <c r="K107" s="73">
        <f t="shared" si="32"/>
        <v>0</v>
      </c>
      <c r="L107" s="74">
        <f t="shared" si="32"/>
        <v>0</v>
      </c>
      <c r="M107" s="108">
        <f t="shared" si="29"/>
        <v>0</v>
      </c>
    </row>
    <row r="108" spans="2:13">
      <c r="B108" s="93" t="s">
        <v>37</v>
      </c>
      <c r="C108" s="94">
        <f t="shared" ref="C108:L108" si="33">C41*$E69</f>
        <v>0</v>
      </c>
      <c r="D108" s="94">
        <f t="shared" si="33"/>
        <v>0.5</v>
      </c>
      <c r="E108" s="94">
        <f t="shared" si="33"/>
        <v>1</v>
      </c>
      <c r="F108" s="94">
        <f t="shared" si="33"/>
        <v>2</v>
      </c>
      <c r="G108" s="94">
        <f t="shared" si="33"/>
        <v>4</v>
      </c>
      <c r="H108" s="94">
        <f t="shared" si="33"/>
        <v>8</v>
      </c>
      <c r="I108" s="109">
        <f t="shared" si="33"/>
        <v>16</v>
      </c>
      <c r="J108" s="94">
        <f t="shared" si="33"/>
        <v>32</v>
      </c>
      <c r="K108" s="110">
        <f t="shared" si="33"/>
        <v>64</v>
      </c>
      <c r="L108" s="111">
        <f t="shared" si="33"/>
        <v>128</v>
      </c>
      <c r="M108" s="112">
        <f t="shared" si="29"/>
        <v>255.5</v>
      </c>
    </row>
    <row r="109" spans="2:13">
      <c r="B109" s="70" t="s">
        <v>38</v>
      </c>
      <c r="C109" s="71">
        <f t="shared" ref="C109:L109" si="34">C42*$E70</f>
        <v>0</v>
      </c>
      <c r="D109" s="71">
        <f t="shared" si="34"/>
        <v>0</v>
      </c>
      <c r="E109" s="71">
        <f t="shared" si="34"/>
        <v>1</v>
      </c>
      <c r="F109" s="71">
        <f t="shared" si="34"/>
        <v>2</v>
      </c>
      <c r="G109" s="71">
        <f t="shared" si="34"/>
        <v>4</v>
      </c>
      <c r="H109" s="71">
        <f t="shared" si="34"/>
        <v>8</v>
      </c>
      <c r="I109" s="72">
        <f t="shared" si="34"/>
        <v>16</v>
      </c>
      <c r="J109" s="71">
        <f t="shared" si="34"/>
        <v>32</v>
      </c>
      <c r="K109" s="73">
        <f t="shared" si="34"/>
        <v>64</v>
      </c>
      <c r="L109" s="74">
        <f t="shared" si="34"/>
        <v>128</v>
      </c>
      <c r="M109" s="108">
        <f t="shared" si="29"/>
        <v>255</v>
      </c>
    </row>
    <row r="110" spans="2:13">
      <c r="B110" s="93" t="s">
        <v>39</v>
      </c>
      <c r="C110" s="94">
        <f t="shared" ref="C110:L110" si="35">C43*$E71</f>
        <v>0</v>
      </c>
      <c r="D110" s="94">
        <f t="shared" si="35"/>
        <v>0</v>
      </c>
      <c r="E110" s="94">
        <f t="shared" si="35"/>
        <v>1</v>
      </c>
      <c r="F110" s="94">
        <f t="shared" si="35"/>
        <v>2</v>
      </c>
      <c r="G110" s="94">
        <f t="shared" si="35"/>
        <v>4</v>
      </c>
      <c r="H110" s="94">
        <f t="shared" si="35"/>
        <v>8</v>
      </c>
      <c r="I110" s="109">
        <f t="shared" si="35"/>
        <v>16</v>
      </c>
      <c r="J110" s="94">
        <f t="shared" si="35"/>
        <v>32</v>
      </c>
      <c r="K110" s="110">
        <f t="shared" si="35"/>
        <v>64</v>
      </c>
      <c r="L110" s="111">
        <f t="shared" si="35"/>
        <v>128</v>
      </c>
      <c r="M110" s="112">
        <f t="shared" si="29"/>
        <v>255</v>
      </c>
    </row>
    <row r="111" spans="2:13" ht="17" customHeight="1" thickBot="1">
      <c r="B111" s="78" t="s">
        <v>40</v>
      </c>
      <c r="C111" s="79">
        <f t="shared" ref="C111:L111" si="36">C44*$E72</f>
        <v>0</v>
      </c>
      <c r="D111" s="79">
        <f t="shared" si="36"/>
        <v>0</v>
      </c>
      <c r="E111" s="79">
        <f t="shared" si="36"/>
        <v>0</v>
      </c>
      <c r="F111" s="79">
        <f t="shared" si="36"/>
        <v>0</v>
      </c>
      <c r="G111" s="79">
        <f t="shared" si="36"/>
        <v>0</v>
      </c>
      <c r="H111" s="79">
        <f t="shared" si="36"/>
        <v>0</v>
      </c>
      <c r="I111" s="79">
        <f t="shared" si="36"/>
        <v>0</v>
      </c>
      <c r="J111" s="79">
        <f t="shared" si="36"/>
        <v>0</v>
      </c>
      <c r="K111" s="79">
        <f t="shared" si="36"/>
        <v>0</v>
      </c>
      <c r="L111" s="80">
        <f t="shared" si="36"/>
        <v>0</v>
      </c>
      <c r="M111" s="113">
        <f t="shared" si="29"/>
        <v>0</v>
      </c>
    </row>
    <row r="112" spans="2:13" ht="30" customHeight="1" thickTop="1">
      <c r="B112" s="114" t="s">
        <v>41</v>
      </c>
      <c r="C112" s="83">
        <f t="shared" ref="C112:M112" si="37">SUM(C104:C111)</f>
        <v>0.58333333333333326</v>
      </c>
      <c r="D112" s="83">
        <f t="shared" si="37"/>
        <v>1.6666666666666665</v>
      </c>
      <c r="E112" s="83">
        <f t="shared" si="37"/>
        <v>5.333333333333333</v>
      </c>
      <c r="F112" s="83">
        <f t="shared" si="37"/>
        <v>10.666666666666666</v>
      </c>
      <c r="G112" s="83">
        <f t="shared" si="37"/>
        <v>21.333333333333332</v>
      </c>
      <c r="H112" s="83">
        <f t="shared" si="37"/>
        <v>42.666666666666664</v>
      </c>
      <c r="I112" s="83">
        <f t="shared" si="37"/>
        <v>85.333333333333329</v>
      </c>
      <c r="J112" s="83">
        <f t="shared" si="37"/>
        <v>170.66666666666666</v>
      </c>
      <c r="K112" s="83">
        <f t="shared" si="37"/>
        <v>341.33333333333331</v>
      </c>
      <c r="L112" s="84">
        <f t="shared" si="37"/>
        <v>682.66666666666663</v>
      </c>
      <c r="M112" s="83">
        <f t="shared" si="37"/>
        <v>1362.25</v>
      </c>
    </row>
    <row r="114" spans="2:13" ht="19" customHeight="1">
      <c r="B114" s="9" t="s">
        <v>61</v>
      </c>
    </row>
    <row r="115" spans="2:13">
      <c r="B115" s="88"/>
    </row>
    <row r="116" spans="2:13" ht="17" customHeight="1">
      <c r="B116" s="47" t="s">
        <v>6</v>
      </c>
      <c r="C116" s="48" t="s">
        <v>13</v>
      </c>
      <c r="D116" s="48" t="s">
        <v>14</v>
      </c>
      <c r="E116" s="48" t="s">
        <v>15</v>
      </c>
      <c r="F116" s="48" t="s">
        <v>16</v>
      </c>
      <c r="G116" s="48" t="s">
        <v>17</v>
      </c>
      <c r="H116" s="48" t="s">
        <v>18</v>
      </c>
      <c r="I116" s="48" t="s">
        <v>19</v>
      </c>
      <c r="J116" s="48" t="s">
        <v>20</v>
      </c>
      <c r="K116" s="48" t="s">
        <v>21</v>
      </c>
      <c r="L116" s="19" t="s">
        <v>22</v>
      </c>
      <c r="M116" s="48" t="s">
        <v>41</v>
      </c>
    </row>
    <row r="117" spans="2:13">
      <c r="B117" s="89" t="s">
        <v>33</v>
      </c>
      <c r="C117" s="90">
        <f t="shared" ref="C117:L117" si="38">C37*$F65</f>
        <v>0</v>
      </c>
      <c r="D117" s="90">
        <f t="shared" si="38"/>
        <v>0</v>
      </c>
      <c r="E117" s="90">
        <f t="shared" si="38"/>
        <v>0</v>
      </c>
      <c r="F117" s="90">
        <f t="shared" si="38"/>
        <v>0</v>
      </c>
      <c r="G117" s="90">
        <f t="shared" si="38"/>
        <v>0</v>
      </c>
      <c r="H117" s="90">
        <f t="shared" si="38"/>
        <v>0</v>
      </c>
      <c r="I117" s="104">
        <f t="shared" si="38"/>
        <v>0</v>
      </c>
      <c r="J117" s="90">
        <f t="shared" si="38"/>
        <v>0</v>
      </c>
      <c r="K117" s="105">
        <f t="shared" si="38"/>
        <v>0</v>
      </c>
      <c r="L117" s="106">
        <f t="shared" si="38"/>
        <v>0</v>
      </c>
      <c r="M117" s="107">
        <f t="shared" ref="M117:M124" si="39">SUM(C117:L117)</f>
        <v>0</v>
      </c>
    </row>
    <row r="118" spans="2:13">
      <c r="B118" s="70" t="s">
        <v>34</v>
      </c>
      <c r="C118" s="71">
        <f t="shared" ref="C118:L118" si="40">C38*$F66</f>
        <v>0.25</v>
      </c>
      <c r="D118" s="71">
        <f t="shared" si="40"/>
        <v>0.5</v>
      </c>
      <c r="E118" s="71">
        <f t="shared" si="40"/>
        <v>1</v>
      </c>
      <c r="F118" s="71">
        <f t="shared" si="40"/>
        <v>2</v>
      </c>
      <c r="G118" s="71">
        <f t="shared" si="40"/>
        <v>4</v>
      </c>
      <c r="H118" s="71">
        <f t="shared" si="40"/>
        <v>8</v>
      </c>
      <c r="I118" s="72">
        <f t="shared" si="40"/>
        <v>16</v>
      </c>
      <c r="J118" s="71">
        <f t="shared" si="40"/>
        <v>32</v>
      </c>
      <c r="K118" s="73">
        <f t="shared" si="40"/>
        <v>64</v>
      </c>
      <c r="L118" s="74">
        <f t="shared" si="40"/>
        <v>128</v>
      </c>
      <c r="M118" s="108">
        <f t="shared" si="39"/>
        <v>255.75</v>
      </c>
    </row>
    <row r="119" spans="2:13">
      <c r="B119" s="93" t="s">
        <v>35</v>
      </c>
      <c r="C119" s="94">
        <f t="shared" ref="C119:L119" si="41">C39*$F67</f>
        <v>0</v>
      </c>
      <c r="D119" s="94">
        <f t="shared" si="41"/>
        <v>0</v>
      </c>
      <c r="E119" s="94">
        <f t="shared" si="41"/>
        <v>0</v>
      </c>
      <c r="F119" s="94">
        <f t="shared" si="41"/>
        <v>0</v>
      </c>
      <c r="G119" s="94">
        <f t="shared" si="41"/>
        <v>0</v>
      </c>
      <c r="H119" s="94">
        <f t="shared" si="41"/>
        <v>0</v>
      </c>
      <c r="I119" s="109">
        <f t="shared" si="41"/>
        <v>0</v>
      </c>
      <c r="J119" s="94">
        <f t="shared" si="41"/>
        <v>0</v>
      </c>
      <c r="K119" s="110">
        <f t="shared" si="41"/>
        <v>0</v>
      </c>
      <c r="L119" s="111">
        <f t="shared" si="41"/>
        <v>0</v>
      </c>
      <c r="M119" s="112">
        <f t="shared" si="39"/>
        <v>0</v>
      </c>
    </row>
    <row r="120" spans="2:13">
      <c r="B120" s="70" t="s">
        <v>36</v>
      </c>
      <c r="C120" s="71">
        <f t="shared" ref="C120:L120" si="42">C40*$F68</f>
        <v>0</v>
      </c>
      <c r="D120" s="71">
        <f t="shared" si="42"/>
        <v>0.66666666666666663</v>
      </c>
      <c r="E120" s="71">
        <f t="shared" si="42"/>
        <v>1.3333333333333333</v>
      </c>
      <c r="F120" s="71">
        <f t="shared" si="42"/>
        <v>2.6666666666666665</v>
      </c>
      <c r="G120" s="71">
        <f t="shared" si="42"/>
        <v>5.333333333333333</v>
      </c>
      <c r="H120" s="71">
        <f t="shared" si="42"/>
        <v>10.666666666666666</v>
      </c>
      <c r="I120" s="72">
        <f t="shared" si="42"/>
        <v>21.333333333333332</v>
      </c>
      <c r="J120" s="71">
        <f t="shared" si="42"/>
        <v>42.666666666666664</v>
      </c>
      <c r="K120" s="73">
        <f t="shared" si="42"/>
        <v>85.333333333333329</v>
      </c>
      <c r="L120" s="74">
        <f t="shared" si="42"/>
        <v>170.66666666666666</v>
      </c>
      <c r="M120" s="108">
        <f t="shared" si="39"/>
        <v>340.66666666666663</v>
      </c>
    </row>
    <row r="121" spans="2:13">
      <c r="B121" s="93" t="s">
        <v>37</v>
      </c>
      <c r="C121" s="94">
        <f t="shared" ref="C121:L121" si="43">C41*$F69</f>
        <v>0</v>
      </c>
      <c r="D121" s="94">
        <f t="shared" si="43"/>
        <v>0</v>
      </c>
      <c r="E121" s="94">
        <f t="shared" si="43"/>
        <v>0</v>
      </c>
      <c r="F121" s="94">
        <f t="shared" si="43"/>
        <v>0</v>
      </c>
      <c r="G121" s="94">
        <f t="shared" si="43"/>
        <v>0</v>
      </c>
      <c r="H121" s="94">
        <f t="shared" si="43"/>
        <v>0</v>
      </c>
      <c r="I121" s="109">
        <f t="shared" si="43"/>
        <v>0</v>
      </c>
      <c r="J121" s="94">
        <f t="shared" si="43"/>
        <v>0</v>
      </c>
      <c r="K121" s="110">
        <f t="shared" si="43"/>
        <v>0</v>
      </c>
      <c r="L121" s="111">
        <f t="shared" si="43"/>
        <v>0</v>
      </c>
      <c r="M121" s="112">
        <f t="shared" si="39"/>
        <v>0</v>
      </c>
    </row>
    <row r="122" spans="2:13">
      <c r="B122" s="70" t="s">
        <v>38</v>
      </c>
      <c r="C122" s="71">
        <f t="shared" ref="C122:L122" si="44">C42*$F70</f>
        <v>0</v>
      </c>
      <c r="D122" s="71">
        <f t="shared" si="44"/>
        <v>0</v>
      </c>
      <c r="E122" s="71">
        <f t="shared" si="44"/>
        <v>0</v>
      </c>
      <c r="F122" s="71">
        <f t="shared" si="44"/>
        <v>0</v>
      </c>
      <c r="G122" s="71">
        <f t="shared" si="44"/>
        <v>0</v>
      </c>
      <c r="H122" s="71">
        <f t="shared" si="44"/>
        <v>0</v>
      </c>
      <c r="I122" s="72">
        <f t="shared" si="44"/>
        <v>0</v>
      </c>
      <c r="J122" s="71">
        <f t="shared" si="44"/>
        <v>0</v>
      </c>
      <c r="K122" s="73">
        <f t="shared" si="44"/>
        <v>0</v>
      </c>
      <c r="L122" s="74">
        <f t="shared" si="44"/>
        <v>0</v>
      </c>
      <c r="M122" s="108">
        <f t="shared" si="39"/>
        <v>0</v>
      </c>
    </row>
    <row r="123" spans="2:13">
      <c r="B123" s="93" t="s">
        <v>39</v>
      </c>
      <c r="C123" s="94">
        <f t="shared" ref="C123:L123" si="45">C43*$F71</f>
        <v>0</v>
      </c>
      <c r="D123" s="94">
        <f t="shared" si="45"/>
        <v>0</v>
      </c>
      <c r="E123" s="94">
        <f t="shared" si="45"/>
        <v>0</v>
      </c>
      <c r="F123" s="94">
        <f t="shared" si="45"/>
        <v>0</v>
      </c>
      <c r="G123" s="94">
        <f t="shared" si="45"/>
        <v>0</v>
      </c>
      <c r="H123" s="94">
        <f t="shared" si="45"/>
        <v>0</v>
      </c>
      <c r="I123" s="109">
        <f t="shared" si="45"/>
        <v>0</v>
      </c>
      <c r="J123" s="94">
        <f t="shared" si="45"/>
        <v>0</v>
      </c>
      <c r="K123" s="110">
        <f t="shared" si="45"/>
        <v>0</v>
      </c>
      <c r="L123" s="111">
        <f t="shared" si="45"/>
        <v>0</v>
      </c>
      <c r="M123" s="112">
        <f t="shared" si="39"/>
        <v>0</v>
      </c>
    </row>
    <row r="124" spans="2:13" ht="17" customHeight="1" thickBot="1">
      <c r="B124" s="78" t="s">
        <v>40</v>
      </c>
      <c r="C124" s="79">
        <f t="shared" ref="C124:L124" si="46">C44*$F72</f>
        <v>0</v>
      </c>
      <c r="D124" s="79">
        <f t="shared" si="46"/>
        <v>0</v>
      </c>
      <c r="E124" s="79">
        <f t="shared" si="46"/>
        <v>1</v>
      </c>
      <c r="F124" s="79">
        <f t="shared" si="46"/>
        <v>2</v>
      </c>
      <c r="G124" s="79">
        <f t="shared" si="46"/>
        <v>4</v>
      </c>
      <c r="H124" s="79">
        <f t="shared" si="46"/>
        <v>8</v>
      </c>
      <c r="I124" s="79">
        <f t="shared" si="46"/>
        <v>16</v>
      </c>
      <c r="J124" s="79">
        <f t="shared" si="46"/>
        <v>32</v>
      </c>
      <c r="K124" s="79">
        <f t="shared" si="46"/>
        <v>64</v>
      </c>
      <c r="L124" s="80">
        <f t="shared" si="46"/>
        <v>128</v>
      </c>
      <c r="M124" s="113">
        <f t="shared" si="39"/>
        <v>255</v>
      </c>
    </row>
    <row r="125" spans="2:13" ht="30" customHeight="1" thickTop="1">
      <c r="B125" s="114" t="s">
        <v>41</v>
      </c>
      <c r="C125" s="83">
        <f t="shared" ref="C125:M125" si="47">SUM(C117:C124)</f>
        <v>0.25</v>
      </c>
      <c r="D125" s="83">
        <f t="shared" si="47"/>
        <v>1.1666666666666665</v>
      </c>
      <c r="E125" s="83">
        <f t="shared" si="47"/>
        <v>3.333333333333333</v>
      </c>
      <c r="F125" s="83">
        <f t="shared" si="47"/>
        <v>6.6666666666666661</v>
      </c>
      <c r="G125" s="83">
        <f t="shared" si="47"/>
        <v>13.333333333333332</v>
      </c>
      <c r="H125" s="83">
        <f t="shared" si="47"/>
        <v>26.666666666666664</v>
      </c>
      <c r="I125" s="83">
        <f t="shared" si="47"/>
        <v>53.333333333333329</v>
      </c>
      <c r="J125" s="83">
        <f t="shared" si="47"/>
        <v>106.66666666666666</v>
      </c>
      <c r="K125" s="83">
        <f t="shared" si="47"/>
        <v>213.33333333333331</v>
      </c>
      <c r="L125" s="84">
        <f t="shared" si="47"/>
        <v>426.66666666666663</v>
      </c>
      <c r="M125" s="83">
        <f t="shared" si="47"/>
        <v>851.41666666666663</v>
      </c>
    </row>
    <row r="127" spans="2:13" ht="19" customHeight="1">
      <c r="B127" s="9" t="s">
        <v>62</v>
      </c>
    </row>
    <row r="128" spans="2:13">
      <c r="B128" s="88"/>
    </row>
    <row r="129" spans="2:13" ht="17" customHeight="1">
      <c r="B129" s="47" t="s">
        <v>6</v>
      </c>
      <c r="C129" s="48" t="s">
        <v>13</v>
      </c>
      <c r="D129" s="48" t="s">
        <v>14</v>
      </c>
      <c r="E129" s="48" t="s">
        <v>15</v>
      </c>
      <c r="F129" s="48" t="s">
        <v>16</v>
      </c>
      <c r="G129" s="48" t="s">
        <v>17</v>
      </c>
      <c r="H129" s="48" t="s">
        <v>18</v>
      </c>
      <c r="I129" s="48" t="s">
        <v>19</v>
      </c>
      <c r="J129" s="48" t="s">
        <v>20</v>
      </c>
      <c r="K129" s="48" t="s">
        <v>21</v>
      </c>
      <c r="L129" s="19" t="s">
        <v>22</v>
      </c>
      <c r="M129" s="48" t="s">
        <v>41</v>
      </c>
    </row>
    <row r="130" spans="2:13">
      <c r="B130" s="89" t="s">
        <v>33</v>
      </c>
      <c r="C130" s="90">
        <f t="shared" ref="C130:L130" si="48">C37*$G65</f>
        <v>0.25</v>
      </c>
      <c r="D130" s="90">
        <f t="shared" si="48"/>
        <v>0.5</v>
      </c>
      <c r="E130" s="90">
        <f t="shared" si="48"/>
        <v>1</v>
      </c>
      <c r="F130" s="90">
        <f t="shared" si="48"/>
        <v>2</v>
      </c>
      <c r="G130" s="90">
        <f t="shared" si="48"/>
        <v>4</v>
      </c>
      <c r="H130" s="90">
        <f t="shared" si="48"/>
        <v>8</v>
      </c>
      <c r="I130" s="104">
        <f t="shared" si="48"/>
        <v>16</v>
      </c>
      <c r="J130" s="90">
        <f t="shared" si="48"/>
        <v>32</v>
      </c>
      <c r="K130" s="105">
        <f t="shared" si="48"/>
        <v>64</v>
      </c>
      <c r="L130" s="106">
        <f t="shared" si="48"/>
        <v>128</v>
      </c>
      <c r="M130" s="107">
        <f t="shared" ref="M130:M137" si="49">SUM(C130:L130)</f>
        <v>255.75</v>
      </c>
    </row>
    <row r="131" spans="2:13">
      <c r="B131" s="70" t="s">
        <v>34</v>
      </c>
      <c r="C131" s="71">
        <f t="shared" ref="C131:L131" si="50">C38*$G66</f>
        <v>0.25</v>
      </c>
      <c r="D131" s="71">
        <f t="shared" si="50"/>
        <v>0.5</v>
      </c>
      <c r="E131" s="71">
        <f t="shared" si="50"/>
        <v>1</v>
      </c>
      <c r="F131" s="71">
        <f t="shared" si="50"/>
        <v>2</v>
      </c>
      <c r="G131" s="71">
        <f t="shared" si="50"/>
        <v>4</v>
      </c>
      <c r="H131" s="71">
        <f t="shared" si="50"/>
        <v>8</v>
      </c>
      <c r="I131" s="72">
        <f t="shared" si="50"/>
        <v>16</v>
      </c>
      <c r="J131" s="71">
        <f t="shared" si="50"/>
        <v>32</v>
      </c>
      <c r="K131" s="73">
        <f t="shared" si="50"/>
        <v>64</v>
      </c>
      <c r="L131" s="74">
        <f t="shared" si="50"/>
        <v>128</v>
      </c>
      <c r="M131" s="108">
        <f t="shared" si="49"/>
        <v>255.75</v>
      </c>
    </row>
    <row r="132" spans="2:13">
      <c r="B132" s="93" t="s">
        <v>35</v>
      </c>
      <c r="C132" s="94">
        <f t="shared" ref="C132:L132" si="51">C39*$G67</f>
        <v>0.33333333333333331</v>
      </c>
      <c r="D132" s="94">
        <f t="shared" si="51"/>
        <v>0.66666666666666663</v>
      </c>
      <c r="E132" s="94">
        <f t="shared" si="51"/>
        <v>1.3333333333333333</v>
      </c>
      <c r="F132" s="94">
        <f t="shared" si="51"/>
        <v>2.6666666666666665</v>
      </c>
      <c r="G132" s="94">
        <f t="shared" si="51"/>
        <v>5.333333333333333</v>
      </c>
      <c r="H132" s="94">
        <f t="shared" si="51"/>
        <v>10.666666666666666</v>
      </c>
      <c r="I132" s="109">
        <f t="shared" si="51"/>
        <v>21.333333333333332</v>
      </c>
      <c r="J132" s="94">
        <f t="shared" si="51"/>
        <v>42.666666666666664</v>
      </c>
      <c r="K132" s="110">
        <f t="shared" si="51"/>
        <v>85.333333333333329</v>
      </c>
      <c r="L132" s="111">
        <f t="shared" si="51"/>
        <v>170.66666666666666</v>
      </c>
      <c r="M132" s="112">
        <f t="shared" si="49"/>
        <v>341</v>
      </c>
    </row>
    <row r="133" spans="2:13">
      <c r="B133" s="70" t="s">
        <v>36</v>
      </c>
      <c r="C133" s="71">
        <f t="shared" ref="C133:L133" si="52">C40*$G68</f>
        <v>0</v>
      </c>
      <c r="D133" s="71">
        <f t="shared" si="52"/>
        <v>0</v>
      </c>
      <c r="E133" s="71">
        <f t="shared" si="52"/>
        <v>0</v>
      </c>
      <c r="F133" s="71">
        <f t="shared" si="52"/>
        <v>0</v>
      </c>
      <c r="G133" s="71">
        <f t="shared" si="52"/>
        <v>0</v>
      </c>
      <c r="H133" s="71">
        <f t="shared" si="52"/>
        <v>0</v>
      </c>
      <c r="I133" s="72">
        <f t="shared" si="52"/>
        <v>0</v>
      </c>
      <c r="J133" s="71">
        <f t="shared" si="52"/>
        <v>0</v>
      </c>
      <c r="K133" s="73">
        <f t="shared" si="52"/>
        <v>0</v>
      </c>
      <c r="L133" s="74">
        <f t="shared" si="52"/>
        <v>0</v>
      </c>
      <c r="M133" s="108">
        <f t="shared" si="49"/>
        <v>0</v>
      </c>
    </row>
    <row r="134" spans="2:13">
      <c r="B134" s="93" t="s">
        <v>37</v>
      </c>
      <c r="C134" s="94">
        <f t="shared" ref="C134:L134" si="53">C41*$G69</f>
        <v>0</v>
      </c>
      <c r="D134" s="94">
        <f t="shared" si="53"/>
        <v>0.5</v>
      </c>
      <c r="E134" s="94">
        <f t="shared" si="53"/>
        <v>1</v>
      </c>
      <c r="F134" s="94">
        <f t="shared" si="53"/>
        <v>2</v>
      </c>
      <c r="G134" s="94">
        <f t="shared" si="53"/>
        <v>4</v>
      </c>
      <c r="H134" s="94">
        <f t="shared" si="53"/>
        <v>8</v>
      </c>
      <c r="I134" s="109">
        <f t="shared" si="53"/>
        <v>16</v>
      </c>
      <c r="J134" s="94">
        <f t="shared" si="53"/>
        <v>32</v>
      </c>
      <c r="K134" s="110">
        <f t="shared" si="53"/>
        <v>64</v>
      </c>
      <c r="L134" s="111">
        <f t="shared" si="53"/>
        <v>128</v>
      </c>
      <c r="M134" s="112">
        <f t="shared" si="49"/>
        <v>255.5</v>
      </c>
    </row>
    <row r="135" spans="2:13">
      <c r="B135" s="70" t="s">
        <v>38</v>
      </c>
      <c r="C135" s="71">
        <f t="shared" ref="C135:L135" si="54">C42*$G70</f>
        <v>0</v>
      </c>
      <c r="D135" s="71">
        <f t="shared" si="54"/>
        <v>0</v>
      </c>
      <c r="E135" s="71">
        <f t="shared" si="54"/>
        <v>1</v>
      </c>
      <c r="F135" s="71">
        <f t="shared" si="54"/>
        <v>2</v>
      </c>
      <c r="G135" s="71">
        <f t="shared" si="54"/>
        <v>4</v>
      </c>
      <c r="H135" s="71">
        <f t="shared" si="54"/>
        <v>8</v>
      </c>
      <c r="I135" s="72">
        <f t="shared" si="54"/>
        <v>16</v>
      </c>
      <c r="J135" s="71">
        <f t="shared" si="54"/>
        <v>32</v>
      </c>
      <c r="K135" s="73">
        <f t="shared" si="54"/>
        <v>64</v>
      </c>
      <c r="L135" s="74">
        <f t="shared" si="54"/>
        <v>128</v>
      </c>
      <c r="M135" s="108">
        <f t="shared" si="49"/>
        <v>255</v>
      </c>
    </row>
    <row r="136" spans="2:13">
      <c r="B136" s="93" t="s">
        <v>39</v>
      </c>
      <c r="C136" s="94">
        <f t="shared" ref="C136:L136" si="55">C43*$G71</f>
        <v>0</v>
      </c>
      <c r="D136" s="94">
        <f t="shared" si="55"/>
        <v>0</v>
      </c>
      <c r="E136" s="94">
        <f t="shared" si="55"/>
        <v>1</v>
      </c>
      <c r="F136" s="94">
        <f t="shared" si="55"/>
        <v>2</v>
      </c>
      <c r="G136" s="94">
        <f t="shared" si="55"/>
        <v>4</v>
      </c>
      <c r="H136" s="94">
        <f t="shared" si="55"/>
        <v>8</v>
      </c>
      <c r="I136" s="109">
        <f t="shared" si="55"/>
        <v>16</v>
      </c>
      <c r="J136" s="94">
        <f t="shared" si="55"/>
        <v>32</v>
      </c>
      <c r="K136" s="110">
        <f t="shared" si="55"/>
        <v>64</v>
      </c>
      <c r="L136" s="111">
        <f t="shared" si="55"/>
        <v>128</v>
      </c>
      <c r="M136" s="112">
        <f t="shared" si="49"/>
        <v>255</v>
      </c>
    </row>
    <row r="137" spans="2:13" ht="17" customHeight="1" thickBot="1">
      <c r="B137" s="78" t="s">
        <v>40</v>
      </c>
      <c r="C137" s="79">
        <f t="shared" ref="C137:L137" si="56">C44*$G72</f>
        <v>0</v>
      </c>
      <c r="D137" s="79">
        <f t="shared" si="56"/>
        <v>0</v>
      </c>
      <c r="E137" s="79">
        <f t="shared" si="56"/>
        <v>1</v>
      </c>
      <c r="F137" s="79">
        <f t="shared" si="56"/>
        <v>2</v>
      </c>
      <c r="G137" s="79">
        <f t="shared" si="56"/>
        <v>4</v>
      </c>
      <c r="H137" s="79">
        <f t="shared" si="56"/>
        <v>8</v>
      </c>
      <c r="I137" s="79">
        <f t="shared" si="56"/>
        <v>16</v>
      </c>
      <c r="J137" s="79">
        <f t="shared" si="56"/>
        <v>32</v>
      </c>
      <c r="K137" s="79">
        <f t="shared" si="56"/>
        <v>64</v>
      </c>
      <c r="L137" s="80">
        <f t="shared" si="56"/>
        <v>128</v>
      </c>
      <c r="M137" s="113">
        <f t="shared" si="49"/>
        <v>255</v>
      </c>
    </row>
    <row r="138" spans="2:13" ht="30" customHeight="1" thickTop="1">
      <c r="B138" s="114" t="s">
        <v>41</v>
      </c>
      <c r="C138" s="83">
        <f t="shared" ref="C138:M138" si="57">SUM(C130:C137)</f>
        <v>0.83333333333333326</v>
      </c>
      <c r="D138" s="83">
        <f t="shared" si="57"/>
        <v>2.1666666666666665</v>
      </c>
      <c r="E138" s="83">
        <f t="shared" si="57"/>
        <v>7.333333333333333</v>
      </c>
      <c r="F138" s="83">
        <f t="shared" si="57"/>
        <v>14.666666666666666</v>
      </c>
      <c r="G138" s="83">
        <f t="shared" si="57"/>
        <v>29.333333333333332</v>
      </c>
      <c r="H138" s="83">
        <f t="shared" si="57"/>
        <v>58.666666666666664</v>
      </c>
      <c r="I138" s="83">
        <f t="shared" si="57"/>
        <v>117.33333333333333</v>
      </c>
      <c r="J138" s="83">
        <f t="shared" si="57"/>
        <v>234.66666666666666</v>
      </c>
      <c r="K138" s="83">
        <f t="shared" si="57"/>
        <v>469.33333333333331</v>
      </c>
      <c r="L138" s="84">
        <f t="shared" si="57"/>
        <v>938.66666666666663</v>
      </c>
      <c r="M138" s="83">
        <f t="shared" si="57"/>
        <v>1873</v>
      </c>
    </row>
    <row r="140" spans="2:13" ht="19" customHeight="1">
      <c r="B140" s="9" t="s">
        <v>63</v>
      </c>
    </row>
    <row r="141" spans="2:13">
      <c r="B141" s="88"/>
    </row>
    <row r="142" spans="2:13" ht="17" customHeight="1">
      <c r="B142" s="47" t="s">
        <v>6</v>
      </c>
      <c r="C142" s="48" t="s">
        <v>13</v>
      </c>
      <c r="D142" s="48" t="s">
        <v>14</v>
      </c>
      <c r="E142" s="48" t="s">
        <v>15</v>
      </c>
      <c r="F142" s="48" t="s">
        <v>16</v>
      </c>
      <c r="G142" s="48" t="s">
        <v>17</v>
      </c>
      <c r="H142" s="48" t="s">
        <v>18</v>
      </c>
      <c r="I142" s="48" t="s">
        <v>19</v>
      </c>
      <c r="J142" s="48" t="s">
        <v>20</v>
      </c>
      <c r="K142" s="48" t="s">
        <v>21</v>
      </c>
      <c r="L142" s="19" t="s">
        <v>22</v>
      </c>
      <c r="M142" s="48" t="s">
        <v>41</v>
      </c>
    </row>
    <row r="143" spans="2:13">
      <c r="B143" s="89" t="s">
        <v>33</v>
      </c>
      <c r="C143" s="90">
        <f t="shared" ref="C143:L143" si="58">C37*$H65</f>
        <v>0</v>
      </c>
      <c r="D143" s="90">
        <f t="shared" si="58"/>
        <v>0</v>
      </c>
      <c r="E143" s="90">
        <f t="shared" si="58"/>
        <v>0</v>
      </c>
      <c r="F143" s="90">
        <f t="shared" si="58"/>
        <v>0</v>
      </c>
      <c r="G143" s="90">
        <f t="shared" si="58"/>
        <v>0</v>
      </c>
      <c r="H143" s="90">
        <f t="shared" si="58"/>
        <v>0</v>
      </c>
      <c r="I143" s="104">
        <f t="shared" si="58"/>
        <v>0</v>
      </c>
      <c r="J143" s="90">
        <f t="shared" si="58"/>
        <v>0</v>
      </c>
      <c r="K143" s="105">
        <f t="shared" si="58"/>
        <v>0</v>
      </c>
      <c r="L143" s="106">
        <f t="shared" si="58"/>
        <v>0</v>
      </c>
      <c r="M143" s="104">
        <f t="shared" ref="M143:M150" si="59">SUM(C143:L143)</f>
        <v>0</v>
      </c>
    </row>
    <row r="144" spans="2:13">
      <c r="B144" s="70" t="s">
        <v>34</v>
      </c>
      <c r="C144" s="71">
        <f t="shared" ref="C144:L144" si="60">C38*$H66</f>
        <v>0</v>
      </c>
      <c r="D144" s="71">
        <f t="shared" si="60"/>
        <v>0</v>
      </c>
      <c r="E144" s="71">
        <f t="shared" si="60"/>
        <v>0</v>
      </c>
      <c r="F144" s="71">
        <f t="shared" si="60"/>
        <v>0</v>
      </c>
      <c r="G144" s="71">
        <f t="shared" si="60"/>
        <v>0</v>
      </c>
      <c r="H144" s="71">
        <f t="shared" si="60"/>
        <v>0</v>
      </c>
      <c r="I144" s="72">
        <f t="shared" si="60"/>
        <v>0</v>
      </c>
      <c r="J144" s="71">
        <f t="shared" si="60"/>
        <v>0</v>
      </c>
      <c r="K144" s="73">
        <f t="shared" si="60"/>
        <v>0</v>
      </c>
      <c r="L144" s="74">
        <f t="shared" si="60"/>
        <v>0</v>
      </c>
      <c r="M144" s="72">
        <f t="shared" si="59"/>
        <v>0</v>
      </c>
    </row>
    <row r="145" spans="2:13">
      <c r="B145" s="93" t="s">
        <v>35</v>
      </c>
      <c r="C145" s="94">
        <f t="shared" ref="C145:L145" si="61">C39*$H67</f>
        <v>0</v>
      </c>
      <c r="D145" s="94">
        <f t="shared" si="61"/>
        <v>0</v>
      </c>
      <c r="E145" s="94">
        <f t="shared" si="61"/>
        <v>0</v>
      </c>
      <c r="F145" s="94">
        <f t="shared" si="61"/>
        <v>0</v>
      </c>
      <c r="G145" s="94">
        <f t="shared" si="61"/>
        <v>0</v>
      </c>
      <c r="H145" s="94">
        <f t="shared" si="61"/>
        <v>0</v>
      </c>
      <c r="I145" s="109">
        <f t="shared" si="61"/>
        <v>0</v>
      </c>
      <c r="J145" s="94">
        <f t="shared" si="61"/>
        <v>0</v>
      </c>
      <c r="K145" s="110">
        <f t="shared" si="61"/>
        <v>0</v>
      </c>
      <c r="L145" s="111">
        <f t="shared" si="61"/>
        <v>0</v>
      </c>
      <c r="M145" s="109">
        <f t="shared" si="59"/>
        <v>0</v>
      </c>
    </row>
    <row r="146" spans="2:13">
      <c r="B146" s="70" t="s">
        <v>36</v>
      </c>
      <c r="C146" s="71">
        <f t="shared" ref="C146:L146" si="62">C40*$H68</f>
        <v>0</v>
      </c>
      <c r="D146" s="71">
        <f t="shared" si="62"/>
        <v>0.66666666666666663</v>
      </c>
      <c r="E146" s="71">
        <f t="shared" si="62"/>
        <v>1.3333333333333333</v>
      </c>
      <c r="F146" s="71">
        <f t="shared" si="62"/>
        <v>2.6666666666666665</v>
      </c>
      <c r="G146" s="71">
        <f t="shared" si="62"/>
        <v>5.333333333333333</v>
      </c>
      <c r="H146" s="71">
        <f t="shared" si="62"/>
        <v>10.666666666666666</v>
      </c>
      <c r="I146" s="72">
        <f t="shared" si="62"/>
        <v>21.333333333333332</v>
      </c>
      <c r="J146" s="71">
        <f t="shared" si="62"/>
        <v>42.666666666666664</v>
      </c>
      <c r="K146" s="73">
        <f t="shared" si="62"/>
        <v>85.333333333333329</v>
      </c>
      <c r="L146" s="74">
        <f t="shared" si="62"/>
        <v>170.66666666666666</v>
      </c>
      <c r="M146" s="72">
        <f t="shared" si="59"/>
        <v>340.66666666666663</v>
      </c>
    </row>
    <row r="147" spans="2:13">
      <c r="B147" s="93" t="s">
        <v>37</v>
      </c>
      <c r="C147" s="94">
        <f t="shared" ref="C147:L147" si="63">C41*$H69</f>
        <v>0</v>
      </c>
      <c r="D147" s="94">
        <f t="shared" si="63"/>
        <v>0</v>
      </c>
      <c r="E147" s="94">
        <f t="shared" si="63"/>
        <v>0</v>
      </c>
      <c r="F147" s="94">
        <f t="shared" si="63"/>
        <v>0</v>
      </c>
      <c r="G147" s="94">
        <f t="shared" si="63"/>
        <v>0</v>
      </c>
      <c r="H147" s="94">
        <f t="shared" si="63"/>
        <v>0</v>
      </c>
      <c r="I147" s="109">
        <f t="shared" si="63"/>
        <v>0</v>
      </c>
      <c r="J147" s="94">
        <f t="shared" si="63"/>
        <v>0</v>
      </c>
      <c r="K147" s="110">
        <f t="shared" si="63"/>
        <v>0</v>
      </c>
      <c r="L147" s="111">
        <f t="shared" si="63"/>
        <v>0</v>
      </c>
      <c r="M147" s="109">
        <f t="shared" si="59"/>
        <v>0</v>
      </c>
    </row>
    <row r="148" spans="2:13">
      <c r="B148" s="70" t="s">
        <v>38</v>
      </c>
      <c r="C148" s="71">
        <f t="shared" ref="C148:L148" si="64">C42*$H70</f>
        <v>0</v>
      </c>
      <c r="D148" s="71">
        <f t="shared" si="64"/>
        <v>0</v>
      </c>
      <c r="E148" s="71">
        <f t="shared" si="64"/>
        <v>0</v>
      </c>
      <c r="F148" s="71">
        <f t="shared" si="64"/>
        <v>0</v>
      </c>
      <c r="G148" s="71">
        <f t="shared" si="64"/>
        <v>0</v>
      </c>
      <c r="H148" s="71">
        <f t="shared" si="64"/>
        <v>0</v>
      </c>
      <c r="I148" s="72">
        <f t="shared" si="64"/>
        <v>0</v>
      </c>
      <c r="J148" s="71">
        <f t="shared" si="64"/>
        <v>0</v>
      </c>
      <c r="K148" s="73">
        <f t="shared" si="64"/>
        <v>0</v>
      </c>
      <c r="L148" s="74">
        <f t="shared" si="64"/>
        <v>0</v>
      </c>
      <c r="M148" s="72">
        <f t="shared" si="59"/>
        <v>0</v>
      </c>
    </row>
    <row r="149" spans="2:13">
      <c r="B149" s="93" t="s">
        <v>39</v>
      </c>
      <c r="C149" s="94">
        <f t="shared" ref="C149:L149" si="65">C43*$H71</f>
        <v>0</v>
      </c>
      <c r="D149" s="94">
        <f t="shared" si="65"/>
        <v>0</v>
      </c>
      <c r="E149" s="94">
        <f t="shared" si="65"/>
        <v>0</v>
      </c>
      <c r="F149" s="94">
        <f t="shared" si="65"/>
        <v>0</v>
      </c>
      <c r="G149" s="94">
        <f t="shared" si="65"/>
        <v>0</v>
      </c>
      <c r="H149" s="94">
        <f t="shared" si="65"/>
        <v>0</v>
      </c>
      <c r="I149" s="109">
        <f t="shared" si="65"/>
        <v>0</v>
      </c>
      <c r="J149" s="94">
        <f t="shared" si="65"/>
        <v>0</v>
      </c>
      <c r="K149" s="110">
        <f t="shared" si="65"/>
        <v>0</v>
      </c>
      <c r="L149" s="111">
        <f t="shared" si="65"/>
        <v>0</v>
      </c>
      <c r="M149" s="109">
        <f t="shared" si="59"/>
        <v>0</v>
      </c>
    </row>
    <row r="150" spans="2:13" ht="17" customHeight="1" thickBot="1">
      <c r="B150" s="78" t="s">
        <v>40</v>
      </c>
      <c r="C150" s="79">
        <f t="shared" ref="C150:L150" si="66">C44*$H72</f>
        <v>0</v>
      </c>
      <c r="D150" s="79">
        <f t="shared" si="66"/>
        <v>0</v>
      </c>
      <c r="E150" s="79">
        <f t="shared" si="66"/>
        <v>0</v>
      </c>
      <c r="F150" s="79">
        <f t="shared" si="66"/>
        <v>0</v>
      </c>
      <c r="G150" s="79">
        <f t="shared" si="66"/>
        <v>0</v>
      </c>
      <c r="H150" s="79">
        <f t="shared" si="66"/>
        <v>0</v>
      </c>
      <c r="I150" s="79">
        <f t="shared" si="66"/>
        <v>0</v>
      </c>
      <c r="J150" s="79">
        <f t="shared" si="66"/>
        <v>0</v>
      </c>
      <c r="K150" s="79">
        <f t="shared" si="66"/>
        <v>0</v>
      </c>
      <c r="L150" s="80">
        <f t="shared" si="66"/>
        <v>0</v>
      </c>
      <c r="M150" s="79">
        <f t="shared" si="59"/>
        <v>0</v>
      </c>
    </row>
    <row r="151" spans="2:13" ht="30" customHeight="1" thickTop="1">
      <c r="B151" s="114" t="s">
        <v>41</v>
      </c>
      <c r="C151" s="83">
        <f t="shared" ref="C151:M151" si="67">SUM(C143:C150)</f>
        <v>0</v>
      </c>
      <c r="D151" s="83">
        <f t="shared" si="67"/>
        <v>0.66666666666666663</v>
      </c>
      <c r="E151" s="83">
        <f t="shared" si="67"/>
        <v>1.3333333333333333</v>
      </c>
      <c r="F151" s="83">
        <f t="shared" si="67"/>
        <v>2.6666666666666665</v>
      </c>
      <c r="G151" s="83">
        <f t="shared" si="67"/>
        <v>5.333333333333333</v>
      </c>
      <c r="H151" s="83">
        <f t="shared" si="67"/>
        <v>10.666666666666666</v>
      </c>
      <c r="I151" s="83">
        <f t="shared" si="67"/>
        <v>21.333333333333332</v>
      </c>
      <c r="J151" s="83">
        <f t="shared" si="67"/>
        <v>42.666666666666664</v>
      </c>
      <c r="K151" s="83">
        <f t="shared" si="67"/>
        <v>85.333333333333329</v>
      </c>
      <c r="L151" s="84">
        <f t="shared" si="67"/>
        <v>170.66666666666666</v>
      </c>
      <c r="M151" s="83">
        <f t="shared" si="67"/>
        <v>340.66666666666663</v>
      </c>
    </row>
    <row r="153" spans="2:13" ht="19" customHeight="1">
      <c r="B153" s="9" t="s">
        <v>64</v>
      </c>
    </row>
    <row r="155" spans="2:13" ht="17" customHeight="1">
      <c r="B155" s="47" t="s">
        <v>6</v>
      </c>
      <c r="C155" s="19" t="s">
        <v>13</v>
      </c>
      <c r="D155" s="19" t="s">
        <v>14</v>
      </c>
      <c r="E155" s="19" t="s">
        <v>15</v>
      </c>
      <c r="F155" s="19" t="s">
        <v>16</v>
      </c>
      <c r="G155" s="19" t="s">
        <v>17</v>
      </c>
      <c r="H155" s="19" t="s">
        <v>18</v>
      </c>
      <c r="I155" s="19" t="s">
        <v>19</v>
      </c>
      <c r="J155" s="19" t="s">
        <v>20</v>
      </c>
      <c r="K155" s="19" t="s">
        <v>21</v>
      </c>
      <c r="L155" s="19" t="s">
        <v>22</v>
      </c>
    </row>
    <row r="156" spans="2:13">
      <c r="B156" s="115" t="s">
        <v>33</v>
      </c>
      <c r="C156" s="90" t="str">
        <f t="shared" ref="C156:L156" si="68">IF((C143+C130+C117+C104+C91+C78)=C37,"Yes","No")</f>
        <v>Yes</v>
      </c>
      <c r="D156" s="90" t="str">
        <f t="shared" si="68"/>
        <v>Yes</v>
      </c>
      <c r="E156" s="90" t="str">
        <f t="shared" si="68"/>
        <v>Yes</v>
      </c>
      <c r="F156" s="90" t="str">
        <f t="shared" si="68"/>
        <v>Yes</v>
      </c>
      <c r="G156" s="90" t="str">
        <f t="shared" si="68"/>
        <v>Yes</v>
      </c>
      <c r="H156" s="90" t="str">
        <f t="shared" si="68"/>
        <v>Yes</v>
      </c>
      <c r="I156" s="90" t="str">
        <f t="shared" si="68"/>
        <v>Yes</v>
      </c>
      <c r="J156" s="90" t="str">
        <f t="shared" si="68"/>
        <v>Yes</v>
      </c>
      <c r="K156" s="90" t="str">
        <f t="shared" si="68"/>
        <v>Yes</v>
      </c>
      <c r="L156" s="90" t="str">
        <f t="shared" si="68"/>
        <v>Yes</v>
      </c>
    </row>
    <row r="157" spans="2:13">
      <c r="B157" s="116" t="s">
        <v>34</v>
      </c>
      <c r="C157" s="71" t="str">
        <f t="shared" ref="C157:L157" si="69">IF((C144+C131+C118+C105+C92+C79)=C38,"Yes","No")</f>
        <v>Yes</v>
      </c>
      <c r="D157" s="71" t="str">
        <f t="shared" si="69"/>
        <v>Yes</v>
      </c>
      <c r="E157" s="71" t="str">
        <f t="shared" si="69"/>
        <v>Yes</v>
      </c>
      <c r="F157" s="71" t="str">
        <f t="shared" si="69"/>
        <v>Yes</v>
      </c>
      <c r="G157" s="71" t="str">
        <f t="shared" si="69"/>
        <v>Yes</v>
      </c>
      <c r="H157" s="71" t="str">
        <f t="shared" si="69"/>
        <v>Yes</v>
      </c>
      <c r="I157" s="71" t="str">
        <f t="shared" si="69"/>
        <v>Yes</v>
      </c>
      <c r="J157" s="71" t="str">
        <f t="shared" si="69"/>
        <v>Yes</v>
      </c>
      <c r="K157" s="71" t="str">
        <f t="shared" si="69"/>
        <v>Yes</v>
      </c>
      <c r="L157" s="71" t="str">
        <f t="shared" si="69"/>
        <v>Yes</v>
      </c>
    </row>
    <row r="158" spans="2:13">
      <c r="B158" s="117" t="s">
        <v>35</v>
      </c>
      <c r="C158" s="94" t="str">
        <f t="shared" ref="C158:L158" si="70">IF((C145+C132+C119+C106+C93+C80)=C39,"Yes","No")</f>
        <v>Yes</v>
      </c>
      <c r="D158" s="94" t="str">
        <f t="shared" si="70"/>
        <v>Yes</v>
      </c>
      <c r="E158" s="94" t="str">
        <f t="shared" si="70"/>
        <v>Yes</v>
      </c>
      <c r="F158" s="94" t="str">
        <f t="shared" si="70"/>
        <v>Yes</v>
      </c>
      <c r="G158" s="94" t="str">
        <f t="shared" si="70"/>
        <v>Yes</v>
      </c>
      <c r="H158" s="94" t="str">
        <f t="shared" si="70"/>
        <v>Yes</v>
      </c>
      <c r="I158" s="94" t="str">
        <f t="shared" si="70"/>
        <v>Yes</v>
      </c>
      <c r="J158" s="94" t="str">
        <f t="shared" si="70"/>
        <v>Yes</v>
      </c>
      <c r="K158" s="94" t="str">
        <f t="shared" si="70"/>
        <v>Yes</v>
      </c>
      <c r="L158" s="94" t="str">
        <f t="shared" si="70"/>
        <v>Yes</v>
      </c>
    </row>
    <row r="159" spans="2:13">
      <c r="B159" s="116" t="s">
        <v>36</v>
      </c>
      <c r="C159" s="71" t="str">
        <f t="shared" ref="C159:L159" si="71">IF((C146+C133+C120+C107+C94+C81)=C40,"Yes","No")</f>
        <v>Yes</v>
      </c>
      <c r="D159" s="71" t="str">
        <f t="shared" si="71"/>
        <v>Yes</v>
      </c>
      <c r="E159" s="71" t="str">
        <f t="shared" si="71"/>
        <v>Yes</v>
      </c>
      <c r="F159" s="71" t="str">
        <f t="shared" si="71"/>
        <v>Yes</v>
      </c>
      <c r="G159" s="71" t="str">
        <f t="shared" si="71"/>
        <v>Yes</v>
      </c>
      <c r="H159" s="71" t="str">
        <f t="shared" si="71"/>
        <v>Yes</v>
      </c>
      <c r="I159" s="71" t="str">
        <f t="shared" si="71"/>
        <v>Yes</v>
      </c>
      <c r="J159" s="71" t="str">
        <f t="shared" si="71"/>
        <v>Yes</v>
      </c>
      <c r="K159" s="71" t="str">
        <f t="shared" si="71"/>
        <v>Yes</v>
      </c>
      <c r="L159" s="71" t="str">
        <f t="shared" si="71"/>
        <v>Yes</v>
      </c>
    </row>
    <row r="160" spans="2:13">
      <c r="B160" s="117" t="s">
        <v>37</v>
      </c>
      <c r="C160" s="94" t="str">
        <f t="shared" ref="C160:L160" si="72">IF((C147+C134+C121+C108+C95+C82)=C41,"Yes","No")</f>
        <v>Yes</v>
      </c>
      <c r="D160" s="94" t="str">
        <f t="shared" si="72"/>
        <v>Yes</v>
      </c>
      <c r="E160" s="94" t="str">
        <f t="shared" si="72"/>
        <v>Yes</v>
      </c>
      <c r="F160" s="94" t="str">
        <f t="shared" si="72"/>
        <v>Yes</v>
      </c>
      <c r="G160" s="94" t="str">
        <f t="shared" si="72"/>
        <v>Yes</v>
      </c>
      <c r="H160" s="94" t="str">
        <f t="shared" si="72"/>
        <v>Yes</v>
      </c>
      <c r="I160" s="94" t="str">
        <f t="shared" si="72"/>
        <v>Yes</v>
      </c>
      <c r="J160" s="94" t="str">
        <f t="shared" si="72"/>
        <v>Yes</v>
      </c>
      <c r="K160" s="94" t="str">
        <f t="shared" si="72"/>
        <v>Yes</v>
      </c>
      <c r="L160" s="94" t="str">
        <f t="shared" si="72"/>
        <v>Yes</v>
      </c>
    </row>
    <row r="161" spans="2:12">
      <c r="B161" s="116" t="s">
        <v>38</v>
      </c>
      <c r="C161" s="71" t="str">
        <f t="shared" ref="C161:L161" si="73">IF((C148+C135+C122+C109+C96+C83)=C42,"Yes","No")</f>
        <v>Yes</v>
      </c>
      <c r="D161" s="71" t="str">
        <f t="shared" si="73"/>
        <v>Yes</v>
      </c>
      <c r="E161" s="71" t="str">
        <f t="shared" si="73"/>
        <v>Yes</v>
      </c>
      <c r="F161" s="71" t="str">
        <f t="shared" si="73"/>
        <v>Yes</v>
      </c>
      <c r="G161" s="71" t="str">
        <f t="shared" si="73"/>
        <v>Yes</v>
      </c>
      <c r="H161" s="71" t="str">
        <f t="shared" si="73"/>
        <v>Yes</v>
      </c>
      <c r="I161" s="71" t="str">
        <f t="shared" si="73"/>
        <v>Yes</v>
      </c>
      <c r="J161" s="71" t="str">
        <f t="shared" si="73"/>
        <v>Yes</v>
      </c>
      <c r="K161" s="71" t="str">
        <f t="shared" si="73"/>
        <v>Yes</v>
      </c>
      <c r="L161" s="71" t="str">
        <f t="shared" si="73"/>
        <v>Yes</v>
      </c>
    </row>
    <row r="162" spans="2:12">
      <c r="B162" s="117" t="s">
        <v>39</v>
      </c>
      <c r="C162" s="94" t="str">
        <f t="shared" ref="C162:L162" si="74">IF((C149+C136+C123+C110+C97+C84)=C43,"Yes","No")</f>
        <v>Yes</v>
      </c>
      <c r="D162" s="94" t="str">
        <f t="shared" si="74"/>
        <v>Yes</v>
      </c>
      <c r="E162" s="94" t="str">
        <f t="shared" si="74"/>
        <v>Yes</v>
      </c>
      <c r="F162" s="94" t="str">
        <f t="shared" si="74"/>
        <v>Yes</v>
      </c>
      <c r="G162" s="94" t="str">
        <f t="shared" si="74"/>
        <v>Yes</v>
      </c>
      <c r="H162" s="94" t="str">
        <f t="shared" si="74"/>
        <v>Yes</v>
      </c>
      <c r="I162" s="94" t="str">
        <f t="shared" si="74"/>
        <v>Yes</v>
      </c>
      <c r="J162" s="94" t="str">
        <f t="shared" si="74"/>
        <v>Yes</v>
      </c>
      <c r="K162" s="94" t="str">
        <f t="shared" si="74"/>
        <v>Yes</v>
      </c>
      <c r="L162" s="94" t="str">
        <f t="shared" si="74"/>
        <v>Yes</v>
      </c>
    </row>
    <row r="163" spans="2:12" ht="17" customHeight="1" thickBot="1">
      <c r="B163" s="78" t="s">
        <v>40</v>
      </c>
      <c r="C163" s="118" t="str">
        <f t="shared" ref="C163:L163" si="75">IF((C150+C137+C124+C111+C98+C85)=C44,"Yes","No")</f>
        <v>Yes</v>
      </c>
      <c r="D163" s="119" t="str">
        <f t="shared" si="75"/>
        <v>Yes</v>
      </c>
      <c r="E163" s="119" t="str">
        <f t="shared" si="75"/>
        <v>Yes</v>
      </c>
      <c r="F163" s="119" t="str">
        <f t="shared" si="75"/>
        <v>Yes</v>
      </c>
      <c r="G163" s="119" t="str">
        <f t="shared" si="75"/>
        <v>Yes</v>
      </c>
      <c r="H163" s="119" t="str">
        <f t="shared" si="75"/>
        <v>Yes</v>
      </c>
      <c r="I163" s="119" t="str">
        <f t="shared" si="75"/>
        <v>Yes</v>
      </c>
      <c r="J163" s="119" t="str">
        <f t="shared" si="75"/>
        <v>Yes</v>
      </c>
      <c r="K163" s="119" t="str">
        <f t="shared" si="75"/>
        <v>Yes</v>
      </c>
      <c r="L163" s="120" t="str">
        <f t="shared" si="75"/>
        <v>Yes</v>
      </c>
    </row>
    <row r="164" spans="2:12" ht="17" customHeight="1" thickTop="1"/>
  </sheetData>
  <conditionalFormatting sqref="C156:L163">
    <cfRule type="cellIs" dxfId="0" priority="1" operator="equal">
      <formula>"Yes"</formula>
    </cfRule>
  </conditionalFormatting>
  <pageMargins left="0.7" right="0.7" top="0.75" bottom="0.75" header="0.3" footer="0.3"/>
  <pageSetup paperSize="9" orientation="portrait" horizontalDpi="0" verticalDpi="0"/>
  <headerFooter>
    <oddFooter>&amp;C&amp;"Aptos"&amp;10 &amp;K000000_x000D_# Confidential - Not for Public Consumption or Distribution</oddFooter>
  </headerFooter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Acquisition Potential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 Marek</dc:creator>
  <cp:lastModifiedBy>Vladyslav Mitilov (Omnicom)</cp:lastModifiedBy>
  <dcterms:created xsi:type="dcterms:W3CDTF">2026-08-27T17:59:46Z</dcterms:created>
  <dcterms:modified xsi:type="dcterms:W3CDTF">2026-08-28T11:01:33Z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0x010100B15FC4E3A15EB4489E009A8CA0F3C1E8</vt:lpwstr>
  </property>
  <property fmtid="{D5CDD505-2E9C-101B-9397-08002B2CF9AE}" pid="3" name="MSIP_Label_8e19d756-792e-42a1-bcad-4cb9051ddd2d_Enabled">
    <vt:lpwstr>true</vt:lpwstr>
  </property>
  <property fmtid="{D5CDD505-2E9C-101B-9397-08002B2CF9AE}" pid="4" name="MSIP_Label_8e19d756-792e-42a1-bcad-4cb9051ddd2d_SetDate">
    <vt:lpwstr>2026-08-28T07:09:03Z</vt:lpwstr>
  </property>
  <property fmtid="{D5CDD505-2E9C-101B-9397-08002B2CF9AE}" pid="5" name="MSIP_Label_8e19d756-792e-42a1-bcad-4cb9051ddd2d_Method">
    <vt:lpwstr>Standard</vt:lpwstr>
  </property>
  <property fmtid="{D5CDD505-2E9C-101B-9397-08002B2CF9AE}" pid="6" name="MSIP_Label_8e19d756-792e-42a1-bcad-4cb9051ddd2d_Name">
    <vt:lpwstr>Confidential</vt:lpwstr>
  </property>
  <property fmtid="{D5CDD505-2E9C-101B-9397-08002B2CF9AE}" pid="7" name="MSIP_Label_8e19d756-792e-42a1-bcad-4cb9051ddd2d_SiteId">
    <vt:lpwstr>41eb501a-f671-4ce0-a5bf-b64168c3705f</vt:lpwstr>
  </property>
  <property fmtid="{D5CDD505-2E9C-101B-9397-08002B2CF9AE}" pid="8" name="MSIP_Label_8e19d756-792e-42a1-bcad-4cb9051ddd2d_ActionId">
    <vt:lpwstr>6d1025f2-4d27-4073-9d70-2e97ff9f27b1</vt:lpwstr>
  </property>
  <property fmtid="{D5CDD505-2E9C-101B-9397-08002B2CF9AE}" pid="9" name="MSIP_Label_8e19d756-792e-42a1-bcad-4cb9051ddd2d_ContentBits">
    <vt:lpwstr>2</vt:lpwstr>
  </property>
  <property fmtid="{D5CDD505-2E9C-101B-9397-08002B2CF9AE}" pid="10" name="MSIP_Label_8e19d756-792e-42a1-bcad-4cb9051ddd2d_Tag">
    <vt:lpwstr>10, 3, 0, 2</vt:lpwstr>
  </property>
</Properties>
</file>